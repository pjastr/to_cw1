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kcja" sheetId="1" state="visible" r:id="rId3"/>
    <sheet name="Przegląd specyfikacji" sheetId="2" state="visible" r:id="rId4"/>
    <sheet name="Warunki testowe" sheetId="3" state="visible" r:id="rId5"/>
    <sheet name="Przypadki testowe" sheetId="4" state="visible" r:id="rId6"/>
    <sheet name="Macierz śledzenia" sheetId="5" state="visible" r:id="rId7"/>
    <sheet name="Sesja eksploracyjna" sheetId="6" state="visible" r:id="rId8"/>
    <sheet name="Raporty defektów" sheetId="7" state="visible" r:id="rId9"/>
    <sheet name="Lista kontrolna" sheetId="8" state="visible" r:id="rId10"/>
    <sheet name="Raport z wykonania" sheetId="9" state="visible" r:id="rId11"/>
  </sheets>
  <definedNames>
    <definedName function="false" hidden="false" localSheetId="7" name="_xlnm.Print_Titles" vbProcedure="false">'Lista kontrolna'!$1:$1</definedName>
    <definedName function="false" hidden="true" localSheetId="7" name="_xlnm._FilterDatabase" vbProcedure="false">'Lista kontrolna'!$A$1:$F$1</definedName>
    <definedName function="false" hidden="false" localSheetId="4" name="_xlnm.Print_Titles" vbProcedure="false">'Macierz śledzenia'!$1:$1</definedName>
    <definedName function="false" hidden="true" localSheetId="4" name="_xlnm._FilterDatabase" vbProcedure="false">'Macierz śledzenia'!$A$1:$I$1</definedName>
    <definedName function="false" hidden="true" localSheetId="1" name="_xlnm._FilterDatabase" vbProcedure="false">'Przegląd specyfikacji'!$A$1:$E$1</definedName>
    <definedName function="false" hidden="false" localSheetId="3" name="_xlnm.Print_Titles" vbProcedure="false">'Przypadki testowe'!$1:$1</definedName>
    <definedName function="false" hidden="true" localSheetId="3" name="_xlnm._FilterDatabase" vbProcedure="false">'Przypadki testowe'!$A$1:$O$1</definedName>
    <definedName function="false" hidden="false" localSheetId="8" name="_xlnm.Print_Titles" vbProcedure="false">'Raport z wykonania'!$1:$1</definedName>
    <definedName function="false" hidden="true" localSheetId="8" name="_xlnm._FilterDatabase" vbProcedure="false">'Raport z wykonania'!$A$1:$C$1</definedName>
    <definedName function="false" hidden="false" localSheetId="6" name="_xlnm.Print_Titles" vbProcedure="false">'Raporty defektów'!$1:$1</definedName>
    <definedName function="false" hidden="true" localSheetId="6" name="_xlnm._FilterDatabase" vbProcedure="false">'Raporty defektów'!$A$1:$Q$1</definedName>
    <definedName function="false" hidden="true" localSheetId="2" name="_xlnm._FilterDatabase" vbProcedure="false">'Warunki testowe'!$A$1:$E$1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<sst xmlns="http://schemas.openxmlformats.org/spreadsheetml/2006/main" count="228" uniqueCount="202">
  <si>
    <t xml:space="preserve">Szablon dokumentacji testowej</t>
  </si>
  <si>
    <t xml:space="preserve">Testowanie oprogramowania – ćwiczenia 1 (na podstawie ISO/IEC/IEEE 29119-3 i sylabusa ISTQB CTFL 4.0)</t>
  </si>
  <si>
    <t xml:space="preserve">Autor (imię, nazwisko, nr albumu)</t>
  </si>
  <si>
    <t xml:space="preserve">Grupa / data</t>
  </si>
  <si>
    <t xml:space="preserve">Przedmiot testów</t>
  </si>
  <si>
    <t xml:space="preserve">KinoTO 1.0 – formularz zakupu biletów (specyfikacja: specyfikacja_KinoTO.md; obiekt do wykonywania testów: Symulator_KinoTO.xlsx)</t>
  </si>
  <si>
    <t xml:space="preserve">ARKUSZE</t>
  </si>
  <si>
    <t xml:space="preserve">Przegląd specyfikacji</t>
  </si>
  <si>
    <t xml:space="preserve">Wynik testowania statycznego: jeden wiersz = jeden problem w specyfikacji (z ID wymagania, rodzajem problemu i pytaniem do autora).</t>
  </si>
  <si>
    <t xml:space="preserve">Warunki testowe</t>
  </si>
  <si>
    <t xml:space="preserve">Wynik analizy: CO testujemy. ID w formacie WT-&lt;obszar&gt;-&lt;nr&gt;, np. WT-FRM-01; podaj wymaganie i priorytet.</t>
  </si>
  <si>
    <t xml:space="preserve">Przypadki testowe</t>
  </si>
  <si>
    <t xml:space="preserve">Specyfikacja przypadków testowych: jeden wiersz = jeden przypadek. ID w formacie TC-&lt;obszar&gt;-&lt;nr&gt;, np. TC-FRM-001. Kolumnę „Wymaganie” wypełnij identyfikatorami REQ-… (kilka – po przecinku).</t>
  </si>
  <si>
    <t xml:space="preserve">Macierz śledzenia</t>
  </si>
  <si>
    <t xml:space="preserve">Jeden wiersz = jedno wymaganie (ID i skrót są już wpisane). Uzupełnij priorytet i ID przypadków. Kolumny „Liczba przypadków”, „Zaliczone”, „Niezaliczone” i „Pokrycie” liczą się same.</t>
  </si>
  <si>
    <t xml:space="preserve">Sesja eksploracyjna</t>
  </si>
  <si>
    <t xml:space="preserve">Karta sesji (cel, czas) i notatki z sesji: co sprawdzono, co zaobserwowano, ocena obserwacji.</t>
  </si>
  <si>
    <t xml:space="preserve">Raporty defektów</t>
  </si>
  <si>
    <t xml:space="preserve">Jeden wiersz = jeden raport o defekcie (ID: DEF-&lt;nr&gt;). Kroki muszą pozwolić odtworzyć awarię innej osobie. Zrzut ekranu (opcjonalnie): Win+Shift+S, zapisz jako DEF-&lt;nr&gt;.png.</t>
  </si>
  <si>
    <t xml:space="preserve">Lista kontrolna</t>
  </si>
  <si>
    <t xml:space="preserve">Pozycje formułuj jako pytania, na które odpowiedź „Tak” oznacza stan poprawny. Wynik „Nie” → wpisz dowód i (jeśli to defekt) ID raportu.</t>
  </si>
  <si>
    <t xml:space="preserve">Raport z wykonania</t>
  </si>
  <si>
    <t xml:space="preserve">Podsumowanie testów. Liczby w kolumnie „Wartość” wyliczają się automatycznie – uzupełnij pola opisowe.</t>
  </si>
  <si>
    <t xml:space="preserve">STATUS PRZYPADKU</t>
  </si>
  <si>
    <t xml:space="preserve">Nie wykonano – jeszcze nie uruchomiony; Zaliczony – rzeczywisty rezultat = oczekiwany; Niezaliczony – rozbieżność (wpisz ID defektu); Zablokowany – nie da się wykonać (np. brak środowiska, inny defekt); Pominięty – świadomie nie wykonano (podaj powód w uwagach).</t>
  </si>
  <si>
    <t xml:space="preserve">WAŻNOŚĆ (severity)</t>
  </si>
  <si>
    <t xml:space="preserve">Wpływ defektu na system/użytkownika: Krytyczna – awaria uniemożliwia korzystanie z kluczowej funkcji, utrata danych, bezpieczeństwo; Wysoka – ważna funkcja działa błędnie, brak obejścia; Średnia – błąd z obejściem lub w mniej ważnej funkcji; Niska – kosmetyka, literówki, drobne niedogodności.</t>
  </si>
  <si>
    <t xml:space="preserve">PRIORYTET (priority)</t>
  </si>
  <si>
    <t xml:space="preserve">Pilność naprawy z punktu widzenia biznesu: Wysoki – naprawić natychmiast / przed wydaniem; Średni – w najbliższym cyklu; Niski – gdy będzie czas. Ważność i priorytet to dwie różne oceny (np. literówka w nazwie firmy na stronie głównej: niska ważność, wysoki priorytet).</t>
  </si>
  <si>
    <t xml:space="preserve">CYKL ŻYCIA DEFEKTU</t>
  </si>
  <si>
    <t xml:space="preserve">Nowy → Otwarty → W naprawie → Naprawiony → Do retestu → Zamknięty; ewentualnie Odrzucony (to nie defekt / nie do odtworzenia), Odroczony (naprawa później), Ponownie otwarty (retest nieudany).</t>
  </si>
  <si>
    <t xml:space="preserve">TECHNIKA</t>
  </si>
  <si>
    <t xml:space="preserve">EP – podział na klasy równoważności; AWB – analiza wartości brzegowych; Doświadczenie – zgadywanie błędów, testowanie eksploracyjne; Na podstawie wymagania – test wyprowadzony wprost z treści wymagania.</t>
  </si>
  <si>
    <t xml:space="preserve">Wiersze przykładowe</t>
  </si>
  <si>
    <t xml:space="preserve">Wiersze wyróżnione żółtym tłem są przykładami – usuń je lub zastąp własnymi przed oddaniem.</t>
  </si>
  <si>
    <t xml:space="preserve">Nr</t>
  </si>
  <si>
    <t xml:space="preserve">Wymaganie (REQ-…)</t>
  </si>
  <si>
    <t xml:space="preserve">Rodzaj problemu</t>
  </si>
  <si>
    <t xml:space="preserve">Opis problemu</t>
  </si>
  <si>
    <t xml:space="preserve">Pytanie do autora / propozycja</t>
  </si>
  <si>
    <t xml:space="preserve">REQ-FRM-05</t>
  </si>
  <si>
    <t xml:space="preserve">Niejednoznaczność</t>
  </si>
  <si>
    <t xml:space="preserve">„Liczba całkowita” – nie wiadomo, czy 2,0 lub puste pole są błędem.</t>
  </si>
  <si>
    <t xml:space="preserve">Czy 2,0 i puste pole mają dawać komunikat z REQ-FRM-05? (PRZYKŁAD – usuń lub zastąp)</t>
  </si>
  <si>
    <t xml:space="preserve">ID</t>
  </si>
  <si>
    <t xml:space="preserve">Warunek testowy (CO sprawdzamy)</t>
  </si>
  <si>
    <t xml:space="preserve">Priorytet</t>
  </si>
  <si>
    <t xml:space="preserve">Uwagi</t>
  </si>
  <si>
    <t xml:space="preserve">WT-FRM-01</t>
  </si>
  <si>
    <t xml:space="preserve">Minimalna długość imienia (2 znaki)</t>
  </si>
  <si>
    <t xml:space="preserve">REQ-FRM-02</t>
  </si>
  <si>
    <t xml:space="preserve">Średni</t>
  </si>
  <si>
    <t xml:space="preserve">PRZYKŁAD – usuń lub zastąp</t>
  </si>
  <si>
    <t xml:space="preserve">Tytuł</t>
  </si>
  <si>
    <t xml:space="preserve">Technika</t>
  </si>
  <si>
    <t xml:space="preserve">Warunki wstępne</t>
  </si>
  <si>
    <t xml:space="preserve">Dane testowe</t>
  </si>
  <si>
    <t xml:space="preserve">Kroki</t>
  </si>
  <si>
    <t xml:space="preserve">Oczekiwany rezultat</t>
  </si>
  <si>
    <t xml:space="preserve">Rzeczywisty rezultat</t>
  </si>
  <si>
    <t xml:space="preserve">Status</t>
  </si>
  <si>
    <t xml:space="preserve">ID defektu</t>
  </si>
  <si>
    <t xml:space="preserve">Wykonał</t>
  </si>
  <si>
    <t xml:space="preserve">Data wykonania</t>
  </si>
  <si>
    <t xml:space="preserve">TC-FRM-001</t>
  </si>
  <si>
    <t xml:space="preserve">Zakup z poprawnymi danymi (bez karty i kodu)</t>
  </si>
  <si>
    <t xml:space="preserve">REQ-FRM-08, REQ-CEN-01</t>
  </si>
  <si>
    <t xml:space="preserve">EP</t>
  </si>
  <si>
    <t xml:space="preserve">Wysoki</t>
  </si>
  <si>
    <t xml:space="preserve">1. Otwarty Symulator_KinoTO.xlsx.
2. Wszystkie żółte pola puste, karta: Nie.</t>
  </si>
  <si>
    <t xml:space="preserve">imię: Anna
e-mail: anna@example.com
wiek: 30
liczba biletów: 2
kod: (puste)
karta: Nie</t>
  </si>
  <si>
    <t xml:space="preserve">1. Wpisz dane testowe w żółte pola.
2. Odczytaj sekcje „Komunikaty” i „Podsumowanie”.</t>
  </si>
  <si>
    <t xml:space="preserve">Brak komunikatów o błędach; cena biletu 30,00 zł; rabat 0%; opłata 2,00 zł; do zapłaty 62,00 zł; „Dziękujemy za zakup!”.</t>
  </si>
  <si>
    <t xml:space="preserve">Nie wykonano</t>
  </si>
  <si>
    <t xml:space="preserve">ID wymagania</t>
  </si>
  <si>
    <t xml:space="preserve">Wymaganie (skrót)</t>
  </si>
  <si>
    <t xml:space="preserve">Przypadki testowe (ID)</t>
  </si>
  <si>
    <t xml:space="preserve">Liczba przypadków</t>
  </si>
  <si>
    <t xml:space="preserve">Zaliczone</t>
  </si>
  <si>
    <t xml:space="preserve">Niezaliczone</t>
  </si>
  <si>
    <t xml:space="preserve">Pokrycie</t>
  </si>
  <si>
    <t xml:space="preserve">REQ-FRM-01</t>
  </si>
  <si>
    <t xml:space="preserve">Pola formularza i przycisk „Kup”</t>
  </si>
  <si>
    <t xml:space="preserve">Imię 2–30 znaków: litery, spacja, myślnik</t>
  </si>
  <si>
    <t xml:space="preserve">REQ-FRM-03</t>
  </si>
  <si>
    <t xml:space="preserve">Poprawny adres e-mail</t>
  </si>
  <si>
    <t xml:space="preserve">REQ-FRM-04</t>
  </si>
  <si>
    <t xml:space="preserve">Wiek: liczba całkowita 1–120</t>
  </si>
  <si>
    <t xml:space="preserve">Liczba biletów: liczba całkowita 1–10</t>
  </si>
  <si>
    <t xml:space="preserve">REQ-FRM-06</t>
  </si>
  <si>
    <t xml:space="preserve">Kod promocyjny opcjonalny</t>
  </si>
  <si>
    <t xml:space="preserve">REQ-FRM-07</t>
  </si>
  <si>
    <t xml:space="preserve">Lista wszystkich błędów, brak zakupu</t>
  </si>
  <si>
    <t xml:space="preserve">REQ-FRM-08</t>
  </si>
  <si>
    <t xml:space="preserve">Podsumowanie i „Dziękujemy za zakup!”</t>
  </si>
  <si>
    <t xml:space="preserve">REQ-CEN-01</t>
  </si>
  <si>
    <t xml:space="preserve">Bilet normalny 30,00 zł</t>
  </si>
  <si>
    <t xml:space="preserve">REQ-CEN-02</t>
  </si>
  <si>
    <t xml:space="preserve">Ulga 50%: wiek &lt; 18 lub ≥ 65</t>
  </si>
  <si>
    <t xml:space="preserve">REQ-CEN-03</t>
  </si>
  <si>
    <t xml:space="preserve">Rabat 15% / 10% / 0% (karta, kod)</t>
  </si>
  <si>
    <t xml:space="preserve">REQ-CEN-04</t>
  </si>
  <si>
    <t xml:space="preserve">Kod KINO10, wielkość liter bez znaczenia</t>
  </si>
  <si>
    <t xml:space="preserve">REQ-CEN-05</t>
  </si>
  <si>
    <t xml:space="preserve">Opłata 2,00 zł; bez opłaty: karta lub ≥ 100,00 zł</t>
  </si>
  <si>
    <t xml:space="preserve">REQ-CEN-06</t>
  </si>
  <si>
    <t xml:space="preserve">Wzór kwoty do zapłaty, zaokrąglenie</t>
  </si>
  <si>
    <t xml:space="preserve">REQ-CEN-07</t>
  </si>
  <si>
    <t xml:space="preserve">Format kwot „0,00 zł”</t>
  </si>
  <si>
    <t xml:space="preserve">Karta sesji</t>
  </si>
  <si>
    <t xml:space="preserve">S1</t>
  </si>
  <si>
    <t xml:space="preserve">Zbadaj</t>
  </si>
  <si>
    <t xml:space="preserve">Symulator KinoTO (Symulator_KinoTO.xlsx) – cały formularz i podsumowanie</t>
  </si>
  <si>
    <t xml:space="preserve">Używając</t>
  </si>
  <si>
    <t xml:space="preserve">nietypowych danych: puste pola, spacje, liczby ujemne i ułamkowe, bardzo długie teksty, polskie znaki, różna wielkość liter, kombinacje karty i kodu</t>
  </si>
  <si>
    <t xml:space="preserve">Aby</t>
  </si>
  <si>
    <t xml:space="preserve">znaleźć defekty walidacji, wyliczania ceny i prezentacji wyników</t>
  </si>
  <si>
    <t xml:space="preserve">Czas</t>
  </si>
  <si>
    <t xml:space="preserve">20 minut</t>
  </si>
  <si>
    <t xml:space="preserve">Tester</t>
  </si>
  <si>
    <t xml:space="preserve">Data</t>
  </si>
  <si>
    <t xml:space="preserve">Co sprawdzono (dane wejściowe)</t>
  </si>
  <si>
    <t xml:space="preserve">Obserwacja (co się stało)</t>
  </si>
  <si>
    <t xml:space="preserve">Ocena</t>
  </si>
  <si>
    <t xml:space="preserve">ID raportu / pytania</t>
  </si>
  <si>
    <t xml:space="preserve">Czas [min]</t>
  </si>
  <si>
    <t xml:space="preserve">Wiek: −5, reszta poprawna</t>
  </si>
  <si>
    <t xml:space="preserve">Komunikat „Podaj wiek od 1 do 120.”, brak podsumowania</t>
  </si>
  <si>
    <t xml:space="preserve">OK</t>
  </si>
  <si>
    <t xml:space="preserve">2  (PRZYKŁAD)</t>
  </si>
  <si>
    <t xml:space="preserve">Tytuł (krótki opis awarii)</t>
  </si>
  <si>
    <t xml:space="preserve">Zgłaszający</t>
  </si>
  <si>
    <t xml:space="preserve">Obiekt testów / URL</t>
  </si>
  <si>
    <t xml:space="preserve">Środowisko</t>
  </si>
  <si>
    <t xml:space="preserve">Kroki do odtworzenia</t>
  </si>
  <si>
    <t xml:space="preserve">Ważność</t>
  </si>
  <si>
    <t xml:space="preserve">Powtarzalność</t>
  </si>
  <si>
    <t xml:space="preserve">Powiązany przypadek / wymaganie</t>
  </si>
  <si>
    <t xml:space="preserve">Załączniki</t>
  </si>
  <si>
    <t xml:space="preserve">DEF-001</t>
  </si>
  <si>
    <t xml:space="preserve">Kalkulator BMI: wynik 10 razy za mały dla wzrostu podanego w cm</t>
  </si>
  <si>
    <t xml:space="preserve">2026-10-06</t>
  </si>
  <si>
    <t xml:space="preserve">J. Kowalski</t>
  </si>
  <si>
    <t xml:space="preserve">https://example.com/bmi (przykład fikcyjny)</t>
  </si>
  <si>
    <t xml:space="preserve">Windows 11, Chrome 141, rozdzielczość 1920×1080</t>
  </si>
  <si>
    <t xml:space="preserve">Strona kalkulatora otwarta</t>
  </si>
  <si>
    <t xml:space="preserve">1. W pole „Wzrost (cm)” wpisz 180.
2. W pole „Masa (kg)” wpisz 81.
3. Kliknij „Oblicz”.</t>
  </si>
  <si>
    <t xml:space="preserve">BMI = 25,0 (81 / 1,8²)</t>
  </si>
  <si>
    <t xml:space="preserve">Wyświetla się BMI = 2,5</t>
  </si>
  <si>
    <t xml:space="preserve">Wysoka</t>
  </si>
  <si>
    <t xml:space="preserve">Zawsze</t>
  </si>
  <si>
    <t xml:space="preserve">Nowy</t>
  </si>
  <si>
    <t xml:space="preserve">TC-BMI-004</t>
  </si>
  <si>
    <t xml:space="preserve">DEF-001.png</t>
  </si>
  <si>
    <t xml:space="preserve">Obszar</t>
  </si>
  <si>
    <t xml:space="preserve">Pozycja kontrolna (pytanie; „Tak” = OK)</t>
  </si>
  <si>
    <t xml:space="preserve">Wynik</t>
  </si>
  <si>
    <t xml:space="preserve">Uwagi / dowód</t>
  </si>
  <si>
    <t xml:space="preserve">CHK-01</t>
  </si>
  <si>
    <t xml:space="preserve">Dostępność</t>
  </si>
  <si>
    <t xml:space="preserve">Czy każde pole formularza ma widoczną etykietę powiązaną z polem (label for)?</t>
  </si>
  <si>
    <t xml:space="preserve">Nie sprawdzono</t>
  </si>
  <si>
    <t xml:space="preserve">Pozycja</t>
  </si>
  <si>
    <t xml:space="preserve">Wartość</t>
  </si>
  <si>
    <t xml:space="preserve">Komentarz</t>
  </si>
  <si>
    <t xml:space="preserve">IDENTYFIKACJA</t>
  </si>
  <si>
    <t xml:space="preserve">Identyfikator raportu</t>
  </si>
  <si>
    <t xml:space="preserve">Obiekt testów</t>
  </si>
  <si>
    <t xml:space="preserve">Okres testów</t>
  </si>
  <si>
    <t xml:space="preserve">Autor</t>
  </si>
  <si>
    <t xml:space="preserve">PRZYPADKI TESTOWE</t>
  </si>
  <si>
    <t xml:space="preserve">Zaprojektowane przypadki testowe</t>
  </si>
  <si>
    <t xml:space="preserve">Zablokowane</t>
  </si>
  <si>
    <t xml:space="preserve">Pominięte</t>
  </si>
  <si>
    <t xml:space="preserve">% wykonanych (zaliczone + niezaliczone)</t>
  </si>
  <si>
    <t xml:space="preserve">% zaliczonych spośród wykonanych</t>
  </si>
  <si>
    <t xml:space="preserve">WYMAGANIA (MACIERZ ŚLEDZENIA)</t>
  </si>
  <si>
    <t xml:space="preserve">Wymagania w macierzy</t>
  </si>
  <si>
    <t xml:space="preserve">Wymagania pokryte przypadkami</t>
  </si>
  <si>
    <t xml:space="preserve">% pokrycia wymagań</t>
  </si>
  <si>
    <t xml:space="preserve">LISTA KONTROLNA</t>
  </si>
  <si>
    <t xml:space="preserve">Pozycje listy kontrolnej</t>
  </si>
  <si>
    <t xml:space="preserve">Wynik „Tak”</t>
  </si>
  <si>
    <t xml:space="preserve">Wynik „Nie”</t>
  </si>
  <si>
    <t xml:space="preserve">Nie dotyczy / nie sprawdzono</t>
  </si>
  <si>
    <t xml:space="preserve">DEFEKTY</t>
  </si>
  <si>
    <t xml:space="preserve">Zgłoszone defekty</t>
  </si>
  <si>
    <t xml:space="preserve">– krytyczne</t>
  </si>
  <si>
    <t xml:space="preserve">– wysokie</t>
  </si>
  <si>
    <t xml:space="preserve">– średnie</t>
  </si>
  <si>
    <t xml:space="preserve">– niskie</t>
  </si>
  <si>
    <t xml:space="preserve">Otwarte (bez Zamknięty i Odrzucony)</t>
  </si>
  <si>
    <t xml:space="preserve">OCENA</t>
  </si>
  <si>
    <t xml:space="preserve">Zakres wykonanych prac i odstępstwa od planu</t>
  </si>
  <si>
    <t xml:space="preserve">Co zrobiono, czego nie zrobiono i dlaczego.</t>
  </si>
  <si>
    <t xml:space="preserve">Najważniejsze problemy i ryzyka</t>
  </si>
  <si>
    <t xml:space="preserve">Najpoważniejsze defekty, obszary nieprzetestowane.</t>
  </si>
  <si>
    <t xml:space="preserve">Kryteria wyjścia spełnione?</t>
  </si>
  <si>
    <t xml:space="preserve">Odnieś się do kryteriów z planu testów.</t>
  </si>
  <si>
    <t xml:space="preserve">Rekomendacja</t>
  </si>
  <si>
    <t xml:space="preserve">Np. „wydać / nie wydawać”, co naprawić w pierwszej kolejności.</t>
  </si>
  <si>
    <t xml:space="preserve">Wnioski na przyszłość (lessons learned)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</si>
</sst>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34.3" hidden="false" customHeight="false" outlineLevel="0" collapsed="false">
      <c r="A1" s="1" t="s">
        <v>0</v>
      </c>
      <c r="B1" s="2" t="s">
        <v>1</v>
      </c>
    </row>
    <row r="2" customFormat="false" ht="28.35" hidden="false" customHeight="false" outlineLevel="0" collapsed="false">
      <c r="A2" s="3" t="s">
        <v>2</v>
      </c>
      <c r="B2" s="4"/>
    </row>
    <row r="3" customFormat="false" ht="15" hidden="false" customHeight="false" outlineLevel="0" collapsed="false">
      <c r="A3" s="3" t="s">
        <v>3</v>
      </c>
      <c r="B3" s="4"/>
    </row>
    <row r="4" customFormat="false" ht="28.35" hidden="false" customHeight="false" outlineLevel="0" collapsed="false">
      <c r="A4" s="3" t="s">
        <v>4</v>
      </c>
      <c r="B4" s="4" t="s">
        <v>5</v>
      </c>
    </row>
    <row r="5" customFormat="false" ht="15" hidden="false" customHeight="false" outlineLevel="0" collapsed="false">
      <c r="A5" s="3"/>
      <c r="B5" s="4"/>
    </row>
    <row r="6" customFormat="false" ht="15" hidden="false" customHeight="false" outlineLevel="0" collapsed="false">
      <c r="A6" s="5" t="s">
        <v>6</v>
      </c>
      <c r="B6" s="4"/>
    </row>
    <row r="7" customFormat="false" ht="28.35" hidden="false" customHeight="false" outlineLevel="0" collapsed="false">
      <c r="A7" s="3" t="s">
        <v>7</v>
      </c>
      <c r="B7" s="4" t="s">
        <v>8</v>
      </c>
    </row>
    <row r="8" customFormat="false" ht="15" hidden="false" customHeight="false" outlineLevel="0" collapsed="false">
      <c r="A8" s="3" t="s">
        <v>9</v>
      </c>
      <c r="B8" s="4" t="s">
        <v>10</v>
      </c>
    </row>
    <row r="9" customFormat="false" ht="28.35" hidden="false" customHeight="false" outlineLevel="0" collapsed="false">
      <c r="A9" s="3" t="s">
        <v>11</v>
      </c>
      <c r="B9" s="4" t="s">
        <v>12</v>
      </c>
    </row>
    <row r="10" customFormat="false" ht="28.35" hidden="false" customHeight="false" outlineLevel="0" collapsed="false">
      <c r="A10" s="3" t="s">
        <v>13</v>
      </c>
      <c r="B10" s="4" t="s">
        <v>14</v>
      </c>
    </row>
    <row r="11" customFormat="false" ht="15" hidden="false" customHeight="false" outlineLevel="0" collapsed="false">
      <c r="A11" s="3" t="s">
        <v>15</v>
      </c>
      <c r="B11" s="4" t="s">
        <v>16</v>
      </c>
    </row>
    <row r="12" customFormat="false" ht="28.35" hidden="false" customHeight="false" outlineLevel="0" collapsed="false">
      <c r="A12" s="3" t="s">
        <v>17</v>
      </c>
      <c r="B12" s="4" t="s">
        <v>18</v>
      </c>
    </row>
    <row r="13" customFormat="false" ht="28.35" hidden="false" customHeight="false" outlineLevel="0" collapsed="false">
      <c r="A13" s="3" t="s">
        <v>19</v>
      </c>
      <c r="B13" s="4" t="s">
        <v>20</v>
      </c>
    </row>
    <row r="14" customFormat="false" ht="15" hidden="false" customHeight="false" outlineLevel="0" collapsed="false">
      <c r="A14" s="3" t="s">
        <v>21</v>
      </c>
      <c r="B14" s="4" t="s">
        <v>22</v>
      </c>
    </row>
    <row r="15" customFormat="false" ht="15" hidden="false" customHeight="false" outlineLevel="0" collapsed="false">
      <c r="A15" s="3"/>
      <c r="B15" s="4"/>
    </row>
    <row r="16" customFormat="false" ht="41.75" hidden="false" customHeight="false" outlineLevel="0" collapsed="false">
      <c r="A16" s="5" t="s">
        <v>23</v>
      </c>
      <c r="B16" s="4" t="s">
        <v>24</v>
      </c>
    </row>
    <row r="17" customFormat="false" ht="41.75" hidden="false" customHeight="false" outlineLevel="0" collapsed="false">
      <c r="A17" s="3" t="s">
        <v>25</v>
      </c>
      <c r="B17" s="4" t="s">
        <v>26</v>
      </c>
    </row>
    <row r="18" customFormat="false" ht="41.75" hidden="false" customHeight="false" outlineLevel="0" collapsed="false">
      <c r="A18" s="3" t="s">
        <v>27</v>
      </c>
      <c r="B18" s="4" t="s">
        <v>28</v>
      </c>
    </row>
    <row r="19" customFormat="false" ht="28.35" hidden="false" customHeight="false" outlineLevel="0" collapsed="false">
      <c r="A19" s="5" t="s">
        <v>29</v>
      </c>
      <c r="B19" s="4" t="s">
        <v>30</v>
      </c>
    </row>
    <row r="20" customFormat="false" ht="28.35" hidden="false" customHeight="false" outlineLevel="0" collapsed="false">
      <c r="A20" s="5" t="s">
        <v>31</v>
      </c>
      <c r="B20" s="4" t="s">
        <v>32</v>
      </c>
    </row>
    <row r="21" customFormat="false" ht="15" hidden="false" customHeight="false" outlineLevel="0" collapsed="false">
      <c r="A21" s="3" t="s">
        <v>33</v>
      </c>
      <c r="B21" s="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5" min="4" style="0" width="50"/>
  </cols>
  <sheetData>
    <row r="1" customFormat="false" ht="31.5" hidden="false" customHeight="true" outlineLevel="0" collapsed="false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</row>
    <row r="2" customFormat="false" ht="28.35" hidden="false" customHeight="false" outlineLevel="0" collapsed="false">
      <c r="A2" s="7" t="n">
        <v>1</v>
      </c>
      <c r="B2" s="7" t="s">
        <v>40</v>
      </c>
      <c r="C2" s="8" t="s">
        <v>41</v>
      </c>
      <c r="D2" s="7" t="s">
        <v>42</v>
      </c>
      <c r="E2" s="7" t="s">
        <v>43</v>
      </c>
    </row>
  </sheetData>
  <autoFilter ref="A1:E1"/>
  <dataValidations count="1">
    <dataValidation allowBlank="true" error="Wybierz wartość z listy rozwijanej." errorStyle="stop" errorTitle="Rodzaj problemu" operator="between" prompt="Wybierz z listy" promptTitle="Rodzaj problemu" showDropDown="false" showErrorMessage="true" showInputMessage="false" sqref="C2:C200" type="list">
      <formula1>"Niejednoznaczność,Brak (niekompletne),Sprzeczność,Nietestowalne,Inne"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5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40"/>
  </cols>
  <sheetData>
    <row r="1" customFormat="false" ht="31.5" hidden="false" customHeight="true" outlineLevel="0" collapsed="false">
      <c r="A1" s="6" t="s">
        <v>44</v>
      </c>
      <c r="B1" s="6" t="s">
        <v>45</v>
      </c>
      <c r="C1" s="6" t="s">
        <v>36</v>
      </c>
      <c r="D1" s="6" t="s">
        <v>46</v>
      </c>
      <c r="E1" s="6" t="s">
        <v>47</v>
      </c>
    </row>
    <row r="2" customFormat="false" ht="15" hidden="false" customHeight="false" outlineLevel="0" collapsed="false">
      <c r="A2" s="7" t="s">
        <v>48</v>
      </c>
      <c r="B2" s="7" t="s">
        <v>49</v>
      </c>
      <c r="C2" s="7" t="s">
        <v>50</v>
      </c>
      <c r="D2" s="8" t="s">
        <v>51</v>
      </c>
      <c r="E2" s="7" t="s">
        <v>52</v>
      </c>
    </row>
  </sheetData>
  <autoFilter ref="A1:E1"/>
  <dataValidations count="1">
    <dataValidation allowBlank="true" error="Wybierz wartość z listy rozwijanej." errorStyle="stop" errorTitle="Priorytet" operator="between" prompt="Wybierz z listy" promptTitle="Priorytet" showDropDown="false" showErrorMessage="true" showInputMessage="false" sqref="D2:D300" type="list">
      <formula1>"Wysoki,Średni,Niski"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32"/>
    <col collapsed="false" customWidth="true" hidden="false" outlineLevel="0" max="8" min="8" style="0" width="44"/>
    <col collapsed="false" customWidth="true" hidden="false" outlineLevel="0" max="9" min="9" style="0" width="42"/>
    <col collapsed="false" customWidth="true" hidden="false" outlineLevel="0" max="10" min="10" style="0" width="30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28"/>
  </cols>
  <sheetData>
    <row r="1" customFormat="false" ht="31.5" hidden="false" customHeight="true" outlineLevel="0" collapsed="false">
      <c r="A1" s="9" t="s">
        <v>44</v>
      </c>
      <c r="B1" s="9" t="s">
        <v>53</v>
      </c>
      <c r="C1" s="9" t="s">
        <v>36</v>
      </c>
      <c r="D1" s="9" t="s">
        <v>54</v>
      </c>
      <c r="E1" s="9" t="s">
        <v>46</v>
      </c>
      <c r="F1" s="9" t="s">
        <v>55</v>
      </c>
      <c r="G1" s="9" t="s">
        <v>56</v>
      </c>
      <c r="H1" s="9" t="s">
        <v>57</v>
      </c>
      <c r="I1" s="9" t="s">
        <v>58</v>
      </c>
      <c r="J1" s="9" t="s">
        <v>59</v>
      </c>
      <c r="K1" s="9" t="s">
        <v>60</v>
      </c>
      <c r="L1" s="9" t="s">
        <v>61</v>
      </c>
      <c r="M1" s="9" t="s">
        <v>62</v>
      </c>
      <c r="N1" s="9" t="s">
        <v>63</v>
      </c>
      <c r="O1" s="9" t="s">
        <v>47</v>
      </c>
    </row>
    <row r="2" customFormat="false" ht="82.05" hidden="false" customHeight="false" outlineLevel="0" collapsed="false">
      <c r="A2" s="10" t="s">
        <v>64</v>
      </c>
      <c r="B2" s="10" t="s">
        <v>65</v>
      </c>
      <c r="C2" s="10" t="s">
        <v>66</v>
      </c>
      <c r="D2" s="10" t="s">
        <v>67</v>
      </c>
      <c r="E2" s="10" t="s">
        <v>68</v>
      </c>
      <c r="F2" s="10" t="s">
        <v>69</v>
      </c>
      <c r="G2" s="10" t="s">
        <v>70</v>
      </c>
      <c r="H2" s="10" t="s">
        <v>71</v>
      </c>
      <c r="I2" s="10" t="s">
        <v>72</v>
      </c>
      <c r="J2" s="10"/>
      <c r="K2" s="10" t="s">
        <v>73</v>
      </c>
      <c r="L2" s="10"/>
      <c r="M2" s="10"/>
      <c r="N2" s="10"/>
      <c r="O2" s="10" t="s">
        <v>52</v>
      </c>
    </row>
  </sheetData>
  <autoFilter ref="A1:O1"/>
  <dataValidations count="3">
    <dataValidation allowBlank="true" error="Wybierz wartość z listy rozwijanej." errorStyle="stop" errorTitle="Technika" operator="between" prompt="Wybierz z listy" promptTitle="Technika" showDropDown="false" showErrorMessage="true" showInputMessage="true" sqref="D2:D300" type="list">
      <formula1>"EP,AWB,Tablica decyzyjna,Przejścia stanów,Przypadki użycia,Doświadczenie,Lista kontrolna,Na podstawie wymagania"</formula1>
      <formula2>0</formula2>
    </dataValidation>
    <dataValidation allowBlank="true" error="Wybierz wartość z listy rozwijanej." errorStyle="stop" errorTitle="Priorytet" operator="between" prompt="Wybierz z listy" promptTitle="Priorytet" showDropDown="false" showErrorMessage="true" showInputMessage="true" sqref="E2:E300" type="list">
      <formula1>"Wysoki,Średni,Niski"</formula1>
      <formula2>0</formula2>
    </dataValidation>
    <dataValidation allowBlank="true" error="Wybierz wartość z listy rozwijanej." errorStyle="stop" errorTitle="Status" operator="between" prompt="Wybierz z listy" promptTitle="Status" showDropDown="false" showErrorMessage="true" showInputMessage="true" sqref="K2:K300" type="list">
      <formula1>"Nie wykonano,Zaliczony,Niezaliczony,Zablokowany,Pominięty"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36"/>
  </cols>
  <sheetData>
    <row r="1" customFormat="false" ht="31.5" hidden="false" customHeight="true" outlineLevel="0" collapsed="false">
      <c r="A1" s="9" t="s">
        <v>74</v>
      </c>
      <c r="B1" s="9" t="s">
        <v>75</v>
      </c>
      <c r="C1" s="9" t="s">
        <v>46</v>
      </c>
      <c r="D1" s="9" t="s">
        <v>76</v>
      </c>
      <c r="E1" s="9" t="s">
        <v>77</v>
      </c>
      <c r="F1" s="9" t="s">
        <v>78</v>
      </c>
      <c r="G1" s="9" t="s">
        <v>79</v>
      </c>
      <c r="H1" s="9" t="s">
        <v>80</v>
      </c>
      <c r="I1" s="9" t="s">
        <v>47</v>
      </c>
    </row>
    <row r="2" customFormat="false" ht="15" hidden="false" customHeight="false" outlineLevel="0" collapsed="false">
      <c r="A2" s="11" t="s">
        <v>81</v>
      </c>
      <c r="B2" s="11" t="s">
        <v>82</v>
      </c>
      <c r="C2" s="12"/>
      <c r="D2" s="11"/>
      <c r="E2" s="10" t="n">
        <f aca="false">IF(A2="","",COUNTIF('Przypadki testowe'!$C$2:$C$300,"*"&amp;A2&amp;"*"))</f>
        <v>0</v>
      </c>
      <c r="F2" s="10" t="n">
        <f aca="false">IF(A2="","",COUNTIFS('Przypadki testowe'!$C$2:$C$300,"*"&amp;A2&amp;"*",'Przypadki testowe'!$K$2:$K$300,"Zaliczony"))</f>
        <v>0</v>
      </c>
      <c r="G2" s="10" t="n">
        <f aca="false">IF(A2="","",COUNTIFS('Przypadki testowe'!$C$2:$C$300,"*"&amp;A2&amp;"*",'Przypadki testowe'!$K$2:$K$300,"Niezaliczony"))</f>
        <v>0</v>
      </c>
      <c r="H2" s="10" t="str">
        <f aca="false">IF(A2="","",IF(E2&gt;0,"Pokryte","BRAK"))</f>
        <v>BRAK</v>
      </c>
      <c r="I2" s="11"/>
    </row>
    <row r="3" customFormat="false" ht="15" hidden="false" customHeight="false" outlineLevel="0" collapsed="false">
      <c r="A3" s="0" t="s">
        <v>50</v>
      </c>
      <c r="B3" s="0" t="s">
        <v>83</v>
      </c>
      <c r="E3" s="0" t="n">
        <f aca="false">IF(A3="","",COUNTIF('Przypadki testowe'!$C$2:$C$300,"*"&amp;A3&amp;"*"))</f>
        <v>0</v>
      </c>
      <c r="F3" s="0" t="n">
        <f aca="false">IF(A3="","",COUNTIFS('Przypadki testowe'!$C$2:$C$300,"*"&amp;A3&amp;"*",'Przypadki testowe'!$K$2:$K$300,"Zaliczony"))</f>
        <v>0</v>
      </c>
      <c r="G3" s="0" t="n">
        <f aca="false">IF(A3="","",COUNTIFS('Przypadki testowe'!$C$2:$C$300,"*"&amp;A3&amp;"*",'Przypadki testowe'!$K$2:$K$300,"Niezaliczony"))</f>
        <v>0</v>
      </c>
      <c r="H3" s="0" t="str">
        <f aca="false">IF(A3="","",IF(E3&gt;0,"Pokryte","BRAK"))</f>
        <v>BRAK</v>
      </c>
    </row>
    <row r="4" customFormat="false" ht="15" hidden="false" customHeight="false" outlineLevel="0" collapsed="false">
      <c r="A4" s="0" t="s">
        <v>84</v>
      </c>
      <c r="B4" s="0" t="s">
        <v>85</v>
      </c>
      <c r="E4" s="0" t="n">
        <f aca="false">IF(A4="","",COUNTIF('Przypadki testowe'!$C$2:$C$300,"*"&amp;A4&amp;"*"))</f>
        <v>0</v>
      </c>
      <c r="F4" s="0" t="n">
        <f aca="false">IF(A4="","",COUNTIFS('Przypadki testowe'!$C$2:$C$300,"*"&amp;A4&amp;"*",'Przypadki testowe'!$K$2:$K$300,"Zaliczony"))</f>
        <v>0</v>
      </c>
      <c r="G4" s="0" t="n">
        <f aca="false">IF(A4="","",COUNTIFS('Przypadki testowe'!$C$2:$C$300,"*"&amp;A4&amp;"*",'Przypadki testowe'!$K$2:$K$300,"Niezaliczony"))</f>
        <v>0</v>
      </c>
      <c r="H4" s="0" t="str">
        <f aca="false">IF(A4="","",IF(E4&gt;0,"Pokryte","BRAK"))</f>
        <v>BRAK</v>
      </c>
    </row>
    <row r="5" customFormat="false" ht="15" hidden="false" customHeight="false" outlineLevel="0" collapsed="false">
      <c r="A5" s="0" t="s">
        <v>86</v>
      </c>
      <c r="B5" s="0" t="s">
        <v>87</v>
      </c>
      <c r="E5" s="0" t="n">
        <f aca="false">IF(A5="","",COUNTIF('Przypadki testowe'!$C$2:$C$300,"*"&amp;A5&amp;"*"))</f>
        <v>0</v>
      </c>
      <c r="F5" s="0" t="n">
        <f aca="false">IF(A5="","",COUNTIFS('Przypadki testowe'!$C$2:$C$300,"*"&amp;A5&amp;"*",'Przypadki testowe'!$K$2:$K$300,"Zaliczony"))</f>
        <v>0</v>
      </c>
      <c r="G5" s="0" t="n">
        <f aca="false">IF(A5="","",COUNTIFS('Przypadki testowe'!$C$2:$C$300,"*"&amp;A5&amp;"*",'Przypadki testowe'!$K$2:$K$300,"Niezaliczony"))</f>
        <v>0</v>
      </c>
      <c r="H5" s="0" t="str">
        <f aca="false">IF(A5="","",IF(E5&gt;0,"Pokryte","BRAK"))</f>
        <v>BRAK</v>
      </c>
    </row>
    <row r="6" customFormat="false" ht="15" hidden="false" customHeight="false" outlineLevel="0" collapsed="false">
      <c r="A6" s="0" t="s">
        <v>40</v>
      </c>
      <c r="B6" s="0" t="s">
        <v>88</v>
      </c>
      <c r="E6" s="0" t="n">
        <f aca="false">IF(A6="","",COUNTIF('Przypadki testowe'!$C$2:$C$300,"*"&amp;A6&amp;"*"))</f>
        <v>0</v>
      </c>
      <c r="F6" s="0" t="n">
        <f aca="false">IF(A6="","",COUNTIFS('Przypadki testowe'!$C$2:$C$300,"*"&amp;A6&amp;"*",'Przypadki testowe'!$K$2:$K$300,"Zaliczony"))</f>
        <v>0</v>
      </c>
      <c r="G6" s="0" t="n">
        <f aca="false">IF(A6="","",COUNTIFS('Przypadki testowe'!$C$2:$C$300,"*"&amp;A6&amp;"*",'Przypadki testowe'!$K$2:$K$300,"Niezaliczony"))</f>
        <v>0</v>
      </c>
      <c r="H6" s="0" t="str">
        <f aca="false">IF(A6="","",IF(E6&gt;0,"Pokryte","BRAK"))</f>
        <v>BRAK</v>
      </c>
    </row>
    <row r="7" customFormat="false" ht="15" hidden="false" customHeight="false" outlineLevel="0" collapsed="false">
      <c r="A7" s="0" t="s">
        <v>89</v>
      </c>
      <c r="B7" s="0" t="s">
        <v>90</v>
      </c>
      <c r="E7" s="0" t="n">
        <f aca="false">IF(A7="","",COUNTIF('Przypadki testowe'!$C$2:$C$300,"*"&amp;A7&amp;"*"))</f>
        <v>0</v>
      </c>
      <c r="F7" s="0" t="n">
        <f aca="false">IF(A7="","",COUNTIFS('Przypadki testowe'!$C$2:$C$300,"*"&amp;A7&amp;"*",'Przypadki testowe'!$K$2:$K$300,"Zaliczony"))</f>
        <v>0</v>
      </c>
      <c r="G7" s="0" t="n">
        <f aca="false">IF(A7="","",COUNTIFS('Przypadki testowe'!$C$2:$C$300,"*"&amp;A7&amp;"*",'Przypadki testowe'!$K$2:$K$300,"Niezaliczony"))</f>
        <v>0</v>
      </c>
      <c r="H7" s="0" t="str">
        <f aca="false">IF(A7="","",IF(E7&gt;0,"Pokryte","BRAK"))</f>
        <v>BRAK</v>
      </c>
    </row>
    <row r="8" customFormat="false" ht="15" hidden="false" customHeight="false" outlineLevel="0" collapsed="false">
      <c r="A8" s="0" t="s">
        <v>91</v>
      </c>
      <c r="B8" s="0" t="s">
        <v>92</v>
      </c>
      <c r="E8" s="0" t="n">
        <f aca="false">IF(A8="","",COUNTIF('Przypadki testowe'!$C$2:$C$300,"*"&amp;A8&amp;"*"))</f>
        <v>0</v>
      </c>
      <c r="F8" s="0" t="n">
        <f aca="false">IF(A8="","",COUNTIFS('Przypadki testowe'!$C$2:$C$300,"*"&amp;A8&amp;"*",'Przypadki testowe'!$K$2:$K$300,"Zaliczony"))</f>
        <v>0</v>
      </c>
      <c r="G8" s="0" t="n">
        <f aca="false">IF(A8="","",COUNTIFS('Przypadki testowe'!$C$2:$C$300,"*"&amp;A8&amp;"*",'Przypadki testowe'!$K$2:$K$300,"Niezaliczony"))</f>
        <v>0</v>
      </c>
      <c r="H8" s="0" t="str">
        <f aca="false">IF(A8="","",IF(E8&gt;0,"Pokryte","BRAK"))</f>
        <v>BRAK</v>
      </c>
    </row>
    <row r="9" customFormat="false" ht="15" hidden="false" customHeight="false" outlineLevel="0" collapsed="false">
      <c r="A9" s="0" t="s">
        <v>93</v>
      </c>
      <c r="B9" s="0" t="s">
        <v>94</v>
      </c>
      <c r="E9" s="0" t="n">
        <f aca="false">IF(A9="","",COUNTIF('Przypadki testowe'!$C$2:$C$300,"*"&amp;A9&amp;"*"))</f>
        <v>1</v>
      </c>
      <c r="F9" s="0" t="n">
        <f aca="false">IF(A9="","",COUNTIFS('Przypadki testowe'!$C$2:$C$300,"*"&amp;A9&amp;"*",'Przypadki testowe'!$K$2:$K$300,"Zaliczony"))</f>
        <v>0</v>
      </c>
      <c r="G9" s="0" t="n">
        <f aca="false">IF(A9="","",COUNTIFS('Przypadki testowe'!$C$2:$C$300,"*"&amp;A9&amp;"*",'Przypadki testowe'!$K$2:$K$300,"Niezaliczony"))</f>
        <v>0</v>
      </c>
      <c r="H9" s="0" t="str">
        <f aca="false">IF(A9="","",IF(E9&gt;0,"Pokryte","BRAK"))</f>
        <v>Pokryte</v>
      </c>
    </row>
    <row r="10" customFormat="false" ht="15" hidden="false" customHeight="false" outlineLevel="0" collapsed="false">
      <c r="A10" s="0" t="s">
        <v>95</v>
      </c>
      <c r="B10" s="0" t="s">
        <v>96</v>
      </c>
      <c r="E10" s="0" t="n">
        <f aca="false">IF(A10="","",COUNTIF('Przypadki testowe'!$C$2:$C$300,"*"&amp;A10&amp;"*"))</f>
        <v>1</v>
      </c>
      <c r="F10" s="0" t="n">
        <f aca="false">IF(A10="","",COUNTIFS('Przypadki testowe'!$C$2:$C$300,"*"&amp;A10&amp;"*",'Przypadki testowe'!$K$2:$K$300,"Zaliczony"))</f>
        <v>0</v>
      </c>
      <c r="G10" s="0" t="n">
        <f aca="false">IF(A10="","",COUNTIFS('Przypadki testowe'!$C$2:$C$300,"*"&amp;A10&amp;"*",'Przypadki testowe'!$K$2:$K$300,"Niezaliczony"))</f>
        <v>0</v>
      </c>
      <c r="H10" s="0" t="str">
        <f aca="false">IF(A10="","",IF(E10&gt;0,"Pokryte","BRAK"))</f>
        <v>Pokryte</v>
      </c>
    </row>
    <row r="11" customFormat="false" ht="15" hidden="false" customHeight="false" outlineLevel="0" collapsed="false">
      <c r="A11" s="0" t="s">
        <v>97</v>
      </c>
      <c r="B11" s="0" t="s">
        <v>98</v>
      </c>
      <c r="E11" s="0" t="n">
        <f aca="false">IF(A11="","",COUNTIF('Przypadki testowe'!$C$2:$C$300,"*"&amp;A11&amp;"*"))</f>
        <v>0</v>
      </c>
      <c r="F11" s="0" t="n">
        <f aca="false">IF(A11="","",COUNTIFS('Przypadki testowe'!$C$2:$C$300,"*"&amp;A11&amp;"*",'Przypadki testowe'!$K$2:$K$300,"Zaliczony"))</f>
        <v>0</v>
      </c>
      <c r="G11" s="0" t="n">
        <f aca="false">IF(A11="","",COUNTIFS('Przypadki testowe'!$C$2:$C$300,"*"&amp;A11&amp;"*",'Przypadki testowe'!$K$2:$K$300,"Niezaliczony"))</f>
        <v>0</v>
      </c>
      <c r="H11" s="0" t="str">
        <f aca="false">IF(A11="","",IF(E11&gt;0,"Pokryte","BRAK"))</f>
        <v>BRAK</v>
      </c>
    </row>
    <row r="12" customFormat="false" ht="15" hidden="false" customHeight="false" outlineLevel="0" collapsed="false">
      <c r="A12" s="0" t="s">
        <v>99</v>
      </c>
      <c r="B12" s="0" t="s">
        <v>100</v>
      </c>
      <c r="E12" s="0" t="n">
        <f aca="false">IF(A12="","",COUNTIF('Przypadki testowe'!$C$2:$C$300,"*"&amp;A12&amp;"*"))</f>
        <v>0</v>
      </c>
      <c r="F12" s="0" t="n">
        <f aca="false">IF(A12="","",COUNTIFS('Przypadki testowe'!$C$2:$C$300,"*"&amp;A12&amp;"*",'Przypadki testowe'!$K$2:$K$300,"Zaliczony"))</f>
        <v>0</v>
      </c>
      <c r="G12" s="0" t="n">
        <f aca="false">IF(A12="","",COUNTIFS('Przypadki testowe'!$C$2:$C$300,"*"&amp;A12&amp;"*",'Przypadki testowe'!$K$2:$K$300,"Niezaliczony"))</f>
        <v>0</v>
      </c>
      <c r="H12" s="0" t="str">
        <f aca="false">IF(A12="","",IF(E12&gt;0,"Pokryte","BRAK"))</f>
        <v>BRAK</v>
      </c>
    </row>
    <row r="13" customFormat="false" ht="15" hidden="false" customHeight="false" outlineLevel="0" collapsed="false">
      <c r="A13" s="0" t="s">
        <v>101</v>
      </c>
      <c r="B13" s="0" t="s">
        <v>102</v>
      </c>
      <c r="E13" s="0" t="n">
        <f aca="false">IF(A13="","",COUNTIF('Przypadki testowe'!$C$2:$C$300,"*"&amp;A13&amp;"*"))</f>
        <v>0</v>
      </c>
      <c r="F13" s="0" t="n">
        <f aca="false">IF(A13="","",COUNTIFS('Przypadki testowe'!$C$2:$C$300,"*"&amp;A13&amp;"*",'Przypadki testowe'!$K$2:$K$300,"Zaliczony"))</f>
        <v>0</v>
      </c>
      <c r="G13" s="0" t="n">
        <f aca="false">IF(A13="","",COUNTIFS('Przypadki testowe'!$C$2:$C$300,"*"&amp;A13&amp;"*",'Przypadki testowe'!$K$2:$K$300,"Niezaliczony"))</f>
        <v>0</v>
      </c>
      <c r="H13" s="0" t="str">
        <f aca="false">IF(A13="","",IF(E13&gt;0,"Pokryte","BRAK"))</f>
        <v>BRAK</v>
      </c>
    </row>
    <row r="14" customFormat="false" ht="15" hidden="false" customHeight="false" outlineLevel="0" collapsed="false">
      <c r="A14" s="0" t="s">
        <v>103</v>
      </c>
      <c r="B14" s="0" t="s">
        <v>104</v>
      </c>
      <c r="E14" s="0" t="n">
        <f aca="false">IF(A14="","",COUNTIF('Przypadki testowe'!$C$2:$C$300,"*"&amp;A14&amp;"*"))</f>
        <v>0</v>
      </c>
      <c r="F14" s="0" t="n">
        <f aca="false">IF(A14="","",COUNTIFS('Przypadki testowe'!$C$2:$C$300,"*"&amp;A14&amp;"*",'Przypadki testowe'!$K$2:$K$300,"Zaliczony"))</f>
        <v>0</v>
      </c>
      <c r="G14" s="0" t="n">
        <f aca="false">IF(A14="","",COUNTIFS('Przypadki testowe'!$C$2:$C$300,"*"&amp;A14&amp;"*",'Przypadki testowe'!$K$2:$K$300,"Niezaliczony"))</f>
        <v>0</v>
      </c>
      <c r="H14" s="0" t="str">
        <f aca="false">IF(A14="","",IF(E14&gt;0,"Pokryte","BRAK"))</f>
        <v>BRAK</v>
      </c>
    </row>
    <row r="15" customFormat="false" ht="15" hidden="false" customHeight="false" outlineLevel="0" collapsed="false">
      <c r="A15" s="0" t="s">
        <v>105</v>
      </c>
      <c r="B15" s="0" t="s">
        <v>106</v>
      </c>
      <c r="E15" s="0" t="n">
        <f aca="false">IF(A15="","",COUNTIF('Przypadki testowe'!$C$2:$C$300,"*"&amp;A15&amp;"*"))</f>
        <v>0</v>
      </c>
      <c r="F15" s="0" t="n">
        <f aca="false">IF(A15="","",COUNTIFS('Przypadki testowe'!$C$2:$C$300,"*"&amp;A15&amp;"*",'Przypadki testowe'!$K$2:$K$300,"Zaliczony"))</f>
        <v>0</v>
      </c>
      <c r="G15" s="0" t="n">
        <f aca="false">IF(A15="","",COUNTIFS('Przypadki testowe'!$C$2:$C$300,"*"&amp;A15&amp;"*",'Przypadki testowe'!$K$2:$K$300,"Niezaliczony"))</f>
        <v>0</v>
      </c>
      <c r="H15" s="0" t="str">
        <f aca="false">IF(A15="","",IF(E15&gt;0,"Pokryte","BRAK"))</f>
        <v>BRAK</v>
      </c>
    </row>
    <row r="16" customFormat="false" ht="15" hidden="false" customHeight="false" outlineLevel="0" collapsed="false">
      <c r="A16" s="0" t="s">
        <v>107</v>
      </c>
      <c r="B16" s="0" t="s">
        <v>108</v>
      </c>
      <c r="E16" s="0" t="n">
        <f aca="false">IF(A16="","",COUNTIF('Przypadki testowe'!$C$2:$C$300,"*"&amp;A16&amp;"*"))</f>
        <v>0</v>
      </c>
      <c r="F16" s="0" t="n">
        <f aca="false">IF(A16="","",COUNTIFS('Przypadki testowe'!$C$2:$C$300,"*"&amp;A16&amp;"*",'Przypadki testowe'!$K$2:$K$300,"Zaliczony"))</f>
        <v>0</v>
      </c>
      <c r="G16" s="0" t="n">
        <f aca="false">IF(A16="","",COUNTIFS('Przypadki testowe'!$C$2:$C$300,"*"&amp;A16&amp;"*",'Przypadki testowe'!$K$2:$K$300,"Niezaliczony"))</f>
        <v>0</v>
      </c>
      <c r="H16" s="0" t="str">
        <f aca="false">IF(A16="","",IF(E16&gt;0,"Pokryte","BRAK"))</f>
        <v>BRAK</v>
      </c>
    </row>
    <row r="17" customFormat="false" ht="15" hidden="false" customHeight="false" outlineLevel="0" collapsed="false">
      <c r="E17" s="0" t="str">
        <f aca="false">IF(A17="","",COUNTIF('Przypadki testowe'!$C$2:$C$300,"*"&amp;A17&amp;"*"))</f>
        <v/>
      </c>
      <c r="F17" s="0" t="str">
        <f aca="false">IF(A17="","",COUNTIFS('Przypadki testowe'!$C$2:$C$300,"*"&amp;A17&amp;"*",'Przypadki testowe'!$K$2:$K$300,"Zaliczony"))</f>
        <v/>
      </c>
      <c r="G17" s="0" t="str">
        <f aca="false">IF(A17="","",COUNTIFS('Przypadki testowe'!$C$2:$C$300,"*"&amp;A17&amp;"*",'Przypadki testowe'!$K$2:$K$300,"Niezaliczony"))</f>
        <v/>
      </c>
      <c r="H17" s="0" t="str">
        <f aca="false">IF(A17="","",IF(E17&gt;0,"Pokryte","BRAK"))</f>
        <v/>
      </c>
    </row>
    <row r="18" customFormat="false" ht="15" hidden="false" customHeight="false" outlineLevel="0" collapsed="false">
      <c r="E18" s="0" t="str">
        <f aca="false">IF(A18="","",COUNTIF('Przypadki testowe'!$C$2:$C$300,"*"&amp;A18&amp;"*"))</f>
        <v/>
      </c>
      <c r="F18" s="0" t="str">
        <f aca="false">IF(A18="","",COUNTIFS('Przypadki testowe'!$C$2:$C$300,"*"&amp;A18&amp;"*",'Przypadki testowe'!$K$2:$K$300,"Zaliczony"))</f>
        <v/>
      </c>
      <c r="G18" s="0" t="str">
        <f aca="false">IF(A18="","",COUNTIFS('Przypadki testowe'!$C$2:$C$300,"*"&amp;A18&amp;"*",'Przypadki testowe'!$K$2:$K$300,"Niezaliczony"))</f>
        <v/>
      </c>
      <c r="H18" s="0" t="str">
        <f aca="false">IF(A18="","",IF(E18&gt;0,"Pokryte","BRAK"))</f>
        <v/>
      </c>
    </row>
    <row r="19" customFormat="false" ht="15" hidden="false" customHeight="false" outlineLevel="0" collapsed="false">
      <c r="E19" s="0" t="str">
        <f aca="false">IF(A19="","",COUNTIF('Przypadki testowe'!$C$2:$C$300,"*"&amp;A19&amp;"*"))</f>
        <v/>
      </c>
      <c r="F19" s="0" t="str">
        <f aca="false">IF(A19="","",COUNTIFS('Przypadki testowe'!$C$2:$C$300,"*"&amp;A19&amp;"*",'Przypadki testowe'!$K$2:$K$300,"Zaliczony"))</f>
        <v/>
      </c>
      <c r="G19" s="0" t="str">
        <f aca="false">IF(A19="","",COUNTIFS('Przypadki testowe'!$C$2:$C$300,"*"&amp;A19&amp;"*",'Przypadki testowe'!$K$2:$K$300,"Niezaliczony"))</f>
        <v/>
      </c>
      <c r="H19" s="0" t="str">
        <f aca="false">IF(A19="","",IF(E19&gt;0,"Pokryte","BRAK"))</f>
        <v/>
      </c>
    </row>
    <row r="20" customFormat="false" ht="15" hidden="false" customHeight="false" outlineLevel="0" collapsed="false">
      <c r="E20" s="0" t="str">
        <f aca="false">IF(A20="","",COUNTIF('Przypadki testowe'!$C$2:$C$300,"*"&amp;A20&amp;"*"))</f>
        <v/>
      </c>
      <c r="F20" s="0" t="str">
        <f aca="false">IF(A20="","",COUNTIFS('Przypadki testowe'!$C$2:$C$300,"*"&amp;A20&amp;"*",'Przypadki testowe'!$K$2:$K$300,"Zaliczony"))</f>
        <v/>
      </c>
      <c r="G20" s="0" t="str">
        <f aca="false">IF(A20="","",COUNTIFS('Przypadki testowe'!$C$2:$C$300,"*"&amp;A20&amp;"*",'Przypadki testowe'!$K$2:$K$300,"Niezaliczony"))</f>
        <v/>
      </c>
      <c r="H20" s="0" t="str">
        <f aca="false">IF(A20="","",IF(E20&gt;0,"Pokryte","BRAK"))</f>
        <v/>
      </c>
    </row>
    <row r="21" customFormat="false" ht="15" hidden="false" customHeight="false" outlineLevel="0" collapsed="false">
      <c r="E21" s="0" t="str">
        <f aca="false">IF(A21="","",COUNTIF('Przypadki testowe'!$C$2:$C$300,"*"&amp;A21&amp;"*"))</f>
        <v/>
      </c>
      <c r="F21" s="0" t="str">
        <f aca="false">IF(A21="","",COUNTIFS('Przypadki testowe'!$C$2:$C$300,"*"&amp;A21&amp;"*",'Przypadki testowe'!$K$2:$K$300,"Zaliczony"))</f>
        <v/>
      </c>
      <c r="G21" s="0" t="str">
        <f aca="false">IF(A21="","",COUNTIFS('Przypadki testowe'!$C$2:$C$300,"*"&amp;A21&amp;"*",'Przypadki testowe'!$K$2:$K$300,"Niezaliczony"))</f>
        <v/>
      </c>
      <c r="H21" s="0" t="str">
        <f aca="false">IF(A21="","",IF(E21&gt;0,"Pokryte","BRAK"))</f>
        <v/>
      </c>
    </row>
    <row r="22" customFormat="false" ht="15" hidden="false" customHeight="false" outlineLevel="0" collapsed="false">
      <c r="E22" s="0" t="str">
        <f aca="false">IF(A22="","",COUNTIF('Przypadki testowe'!$C$2:$C$300,"*"&amp;A22&amp;"*"))</f>
        <v/>
      </c>
      <c r="F22" s="0" t="str">
        <f aca="false">IF(A22="","",COUNTIFS('Przypadki testowe'!$C$2:$C$300,"*"&amp;A22&amp;"*",'Przypadki testowe'!$K$2:$K$300,"Zaliczony"))</f>
        <v/>
      </c>
      <c r="G22" s="0" t="str">
        <f aca="false">IF(A22="","",COUNTIFS('Przypadki testowe'!$C$2:$C$300,"*"&amp;A22&amp;"*",'Przypadki testowe'!$K$2:$K$300,"Niezaliczony"))</f>
        <v/>
      </c>
      <c r="H22" s="0" t="str">
        <f aca="false">IF(A22="","",IF(E22&gt;0,"Pokryte","BRAK"))</f>
        <v/>
      </c>
    </row>
    <row r="23" customFormat="false" ht="15" hidden="false" customHeight="false" outlineLevel="0" collapsed="false">
      <c r="E23" s="0" t="str">
        <f aca="false">IF(A23="","",COUNTIF('Przypadki testowe'!$C$2:$C$300,"*"&amp;A23&amp;"*"))</f>
        <v/>
      </c>
      <c r="F23" s="0" t="str">
        <f aca="false">IF(A23="","",COUNTIFS('Przypadki testowe'!$C$2:$C$300,"*"&amp;A23&amp;"*",'Przypadki testowe'!$K$2:$K$300,"Zaliczony"))</f>
        <v/>
      </c>
      <c r="G23" s="0" t="str">
        <f aca="false">IF(A23="","",COUNTIFS('Przypadki testowe'!$C$2:$C$300,"*"&amp;A23&amp;"*",'Przypadki testowe'!$K$2:$K$300,"Niezaliczony"))</f>
        <v/>
      </c>
      <c r="H23" s="0" t="str">
        <f aca="false">IF(A23="","",IF(E23&gt;0,"Pokryte","BRAK"))</f>
        <v/>
      </c>
    </row>
    <row r="24" customFormat="false" ht="15" hidden="false" customHeight="false" outlineLevel="0" collapsed="false">
      <c r="E24" s="0" t="str">
        <f aca="false">IF(A24="","",COUNTIF('Przypadki testowe'!$C$2:$C$300,"*"&amp;A24&amp;"*"))</f>
        <v/>
      </c>
      <c r="F24" s="0" t="str">
        <f aca="false">IF(A24="","",COUNTIFS('Przypadki testowe'!$C$2:$C$300,"*"&amp;A24&amp;"*",'Przypadki testowe'!$K$2:$K$300,"Zaliczony"))</f>
        <v/>
      </c>
      <c r="G24" s="0" t="str">
        <f aca="false">IF(A24="","",COUNTIFS('Przypadki testowe'!$C$2:$C$300,"*"&amp;A24&amp;"*",'Przypadki testowe'!$K$2:$K$300,"Niezaliczony"))</f>
        <v/>
      </c>
      <c r="H24" s="0" t="str">
        <f aca="false">IF(A24="","",IF(E24&gt;0,"Pokryte","BRAK"))</f>
        <v/>
      </c>
    </row>
    <row r="25" customFormat="false" ht="15" hidden="false" customHeight="false" outlineLevel="0" collapsed="false">
      <c r="E25" s="0" t="str">
        <f aca="false">IF(A25="","",COUNTIF('Przypadki testowe'!$C$2:$C$300,"*"&amp;A25&amp;"*"))</f>
        <v/>
      </c>
      <c r="F25" s="0" t="str">
        <f aca="false">IF(A25="","",COUNTIFS('Przypadki testowe'!$C$2:$C$300,"*"&amp;A25&amp;"*",'Przypadki testowe'!$K$2:$K$300,"Zaliczony"))</f>
        <v/>
      </c>
      <c r="G25" s="0" t="str">
        <f aca="false">IF(A25="","",COUNTIFS('Przypadki testowe'!$C$2:$C$300,"*"&amp;A25&amp;"*",'Przypadki testowe'!$K$2:$K$300,"Niezaliczony"))</f>
        <v/>
      </c>
      <c r="H25" s="0" t="str">
        <f aca="false">IF(A25="","",IF(E25&gt;0,"Pokryte","BRAK"))</f>
        <v/>
      </c>
    </row>
    <row r="26" customFormat="false" ht="15" hidden="false" customHeight="false" outlineLevel="0" collapsed="false">
      <c r="E26" s="0" t="str">
        <f aca="false">IF(A26="","",COUNTIF('Przypadki testowe'!$C$2:$C$300,"*"&amp;A26&amp;"*"))</f>
        <v/>
      </c>
      <c r="F26" s="0" t="str">
        <f aca="false">IF(A26="","",COUNTIFS('Przypadki testowe'!$C$2:$C$300,"*"&amp;A26&amp;"*",'Przypadki testowe'!$K$2:$K$300,"Zaliczony"))</f>
        <v/>
      </c>
      <c r="G26" s="0" t="str">
        <f aca="false">IF(A26="","",COUNTIFS('Przypadki testowe'!$C$2:$C$300,"*"&amp;A26&amp;"*",'Przypadki testowe'!$K$2:$K$300,"Niezaliczony"))</f>
        <v/>
      </c>
      <c r="H26" s="0" t="str">
        <f aca="false">IF(A26="","",IF(E26&gt;0,"Pokryte","BRAK"))</f>
        <v/>
      </c>
    </row>
    <row r="27" customFormat="false" ht="15" hidden="false" customHeight="false" outlineLevel="0" collapsed="false">
      <c r="E27" s="0" t="str">
        <f aca="false">IF(A27="","",COUNTIF('Przypadki testowe'!$C$2:$C$300,"*"&amp;A27&amp;"*"))</f>
        <v/>
      </c>
      <c r="F27" s="0" t="str">
        <f aca="false">IF(A27="","",COUNTIFS('Przypadki testowe'!$C$2:$C$300,"*"&amp;A27&amp;"*",'Przypadki testowe'!$K$2:$K$300,"Zaliczony"))</f>
        <v/>
      </c>
      <c r="G27" s="0" t="str">
        <f aca="false">IF(A27="","",COUNTIFS('Przypadki testowe'!$C$2:$C$300,"*"&amp;A27&amp;"*",'Przypadki testowe'!$K$2:$K$300,"Niezaliczony"))</f>
        <v/>
      </c>
      <c r="H27" s="0" t="str">
        <f aca="false">IF(A27="","",IF(E27&gt;0,"Pokryte","BRAK"))</f>
        <v/>
      </c>
    </row>
    <row r="28" customFormat="false" ht="15" hidden="false" customHeight="false" outlineLevel="0" collapsed="false">
      <c r="E28" s="0" t="str">
        <f aca="false">IF(A28="","",COUNTIF('Przypadki testowe'!$C$2:$C$300,"*"&amp;A28&amp;"*"))</f>
        <v/>
      </c>
      <c r="F28" s="0" t="str">
        <f aca="false">IF(A28="","",COUNTIFS('Przypadki testowe'!$C$2:$C$300,"*"&amp;A28&amp;"*",'Przypadki testowe'!$K$2:$K$300,"Zaliczony"))</f>
        <v/>
      </c>
      <c r="G28" s="0" t="str">
        <f aca="false">IF(A28="","",COUNTIFS('Przypadki testowe'!$C$2:$C$300,"*"&amp;A28&amp;"*",'Przypadki testowe'!$K$2:$K$300,"Niezaliczony"))</f>
        <v/>
      </c>
      <c r="H28" s="0" t="str">
        <f aca="false">IF(A28="","",IF(E28&gt;0,"Pokryte","BRAK"))</f>
        <v/>
      </c>
    </row>
    <row r="29" customFormat="false" ht="15" hidden="false" customHeight="false" outlineLevel="0" collapsed="false">
      <c r="E29" s="0" t="str">
        <f aca="false">IF(A29="","",COUNTIF('Przypadki testowe'!$C$2:$C$300,"*"&amp;A29&amp;"*"))</f>
        <v/>
      </c>
      <c r="F29" s="0" t="str">
        <f aca="false">IF(A29="","",COUNTIFS('Przypadki testowe'!$C$2:$C$300,"*"&amp;A29&amp;"*",'Przypadki testowe'!$K$2:$K$300,"Zaliczony"))</f>
        <v/>
      </c>
      <c r="G29" s="0" t="str">
        <f aca="false">IF(A29="","",COUNTIFS('Przypadki testowe'!$C$2:$C$300,"*"&amp;A29&amp;"*",'Przypadki testowe'!$K$2:$K$300,"Niezaliczony"))</f>
        <v/>
      </c>
      <c r="H29" s="0" t="str">
        <f aca="false">IF(A29="","",IF(E29&gt;0,"Pokryte","BRAK"))</f>
        <v/>
      </c>
    </row>
    <row r="30" customFormat="false" ht="15" hidden="false" customHeight="false" outlineLevel="0" collapsed="false">
      <c r="E30" s="0" t="str">
        <f aca="false">IF(A30="","",COUNTIF('Przypadki testowe'!$C$2:$C$300,"*"&amp;A30&amp;"*"))</f>
        <v/>
      </c>
      <c r="F30" s="0" t="str">
        <f aca="false">IF(A30="","",COUNTIFS('Przypadki testowe'!$C$2:$C$300,"*"&amp;A30&amp;"*",'Przypadki testowe'!$K$2:$K$300,"Zaliczony"))</f>
        <v/>
      </c>
      <c r="G30" s="0" t="str">
        <f aca="false">IF(A30="","",COUNTIFS('Przypadki testowe'!$C$2:$C$300,"*"&amp;A30&amp;"*",'Przypadki testowe'!$K$2:$K$300,"Niezaliczony"))</f>
        <v/>
      </c>
      <c r="H30" s="0" t="str">
        <f aca="false">IF(A30="","",IF(E30&gt;0,"Pokryte","BRAK"))</f>
        <v/>
      </c>
    </row>
    <row r="31" customFormat="false" ht="15" hidden="false" customHeight="false" outlineLevel="0" collapsed="false">
      <c r="E31" s="0" t="str">
        <f aca="false">IF(A31="","",COUNTIF('Przypadki testowe'!$C$2:$C$300,"*"&amp;A31&amp;"*"))</f>
        <v/>
      </c>
      <c r="F31" s="0" t="str">
        <f aca="false">IF(A31="","",COUNTIFS('Przypadki testowe'!$C$2:$C$300,"*"&amp;A31&amp;"*",'Przypadki testowe'!$K$2:$K$300,"Zaliczony"))</f>
        <v/>
      </c>
      <c r="G31" s="0" t="str">
        <f aca="false">IF(A31="","",COUNTIFS('Przypadki testowe'!$C$2:$C$300,"*"&amp;A31&amp;"*",'Przypadki testowe'!$K$2:$K$300,"Niezaliczony"))</f>
        <v/>
      </c>
      <c r="H31" s="0" t="str">
        <f aca="false">IF(A31="","",IF(E31&gt;0,"Pokryte","BRAK"))</f>
        <v/>
      </c>
    </row>
    <row r="32" customFormat="false" ht="15" hidden="false" customHeight="false" outlineLevel="0" collapsed="false">
      <c r="E32" s="0" t="str">
        <f aca="false">IF(A32="","",COUNTIF('Przypadki testowe'!$C$2:$C$300,"*"&amp;A32&amp;"*"))</f>
        <v/>
      </c>
      <c r="F32" s="0" t="str">
        <f aca="false">IF(A32="","",COUNTIFS('Przypadki testowe'!$C$2:$C$300,"*"&amp;A32&amp;"*",'Przypadki testowe'!$K$2:$K$300,"Zaliczony"))</f>
        <v/>
      </c>
      <c r="G32" s="0" t="str">
        <f aca="false">IF(A32="","",COUNTIFS('Przypadki testowe'!$C$2:$C$300,"*"&amp;A32&amp;"*",'Przypadki testowe'!$K$2:$K$300,"Niezaliczony"))</f>
        <v/>
      </c>
      <c r="H32" s="0" t="str">
        <f aca="false">IF(A32="","",IF(E32&gt;0,"Pokryte","BRAK"))</f>
        <v/>
      </c>
    </row>
    <row r="33" customFormat="false" ht="15" hidden="false" customHeight="false" outlineLevel="0" collapsed="false">
      <c r="E33" s="0" t="str">
        <f aca="false">IF(A33="","",COUNTIF('Przypadki testowe'!$C$2:$C$300,"*"&amp;A33&amp;"*"))</f>
        <v/>
      </c>
      <c r="F33" s="0" t="str">
        <f aca="false">IF(A33="","",COUNTIFS('Przypadki testowe'!$C$2:$C$300,"*"&amp;A33&amp;"*",'Przypadki testowe'!$K$2:$K$300,"Zaliczony"))</f>
        <v/>
      </c>
      <c r="G33" s="0" t="str">
        <f aca="false">IF(A33="","",COUNTIFS('Przypadki testowe'!$C$2:$C$300,"*"&amp;A33&amp;"*",'Przypadki testowe'!$K$2:$K$300,"Niezaliczony"))</f>
        <v/>
      </c>
      <c r="H33" s="0" t="str">
        <f aca="false">IF(A33="","",IF(E33&gt;0,"Pokryte","BRAK"))</f>
        <v/>
      </c>
    </row>
    <row r="34" customFormat="false" ht="15" hidden="false" customHeight="false" outlineLevel="0" collapsed="false">
      <c r="E34" s="0" t="str">
        <f aca="false">IF(A34="","",COUNTIF('Przypadki testowe'!$C$2:$C$300,"*"&amp;A34&amp;"*"))</f>
        <v/>
      </c>
      <c r="F34" s="0" t="str">
        <f aca="false">IF(A34="","",COUNTIFS('Przypadki testowe'!$C$2:$C$300,"*"&amp;A34&amp;"*",'Przypadki testowe'!$K$2:$K$300,"Zaliczony"))</f>
        <v/>
      </c>
      <c r="G34" s="0" t="str">
        <f aca="false">IF(A34="","",COUNTIFS('Przypadki testowe'!$C$2:$C$300,"*"&amp;A34&amp;"*",'Przypadki testowe'!$K$2:$K$300,"Niezaliczony"))</f>
        <v/>
      </c>
      <c r="H34" s="0" t="str">
        <f aca="false">IF(A34="","",IF(E34&gt;0,"Pokryte","BRAK"))</f>
        <v/>
      </c>
    </row>
    <row r="35" customFormat="false" ht="15" hidden="false" customHeight="false" outlineLevel="0" collapsed="false">
      <c r="E35" s="0" t="str">
        <f aca="false">IF(A35="","",COUNTIF('Przypadki testowe'!$C$2:$C$300,"*"&amp;A35&amp;"*"))</f>
        <v/>
      </c>
      <c r="F35" s="0" t="str">
        <f aca="false">IF(A35="","",COUNTIFS('Przypadki testowe'!$C$2:$C$300,"*"&amp;A35&amp;"*",'Przypadki testowe'!$K$2:$K$300,"Zaliczony"))</f>
        <v/>
      </c>
      <c r="G35" s="0" t="str">
        <f aca="false">IF(A35="","",COUNTIFS('Przypadki testowe'!$C$2:$C$300,"*"&amp;A35&amp;"*",'Przypadki testowe'!$K$2:$K$300,"Niezaliczony"))</f>
        <v/>
      </c>
      <c r="H35" s="0" t="str">
        <f aca="false">IF(A35="","",IF(E35&gt;0,"Pokryte","BRAK"))</f>
        <v/>
      </c>
    </row>
    <row r="36" customFormat="false" ht="15" hidden="false" customHeight="false" outlineLevel="0" collapsed="false">
      <c r="E36" s="0" t="str">
        <f aca="false">IF(A36="","",COUNTIF('Przypadki testowe'!$C$2:$C$300,"*"&amp;A36&amp;"*"))</f>
        <v/>
      </c>
      <c r="F36" s="0" t="str">
        <f aca="false">IF(A36="","",COUNTIFS('Przypadki testowe'!$C$2:$C$300,"*"&amp;A36&amp;"*",'Przypadki testowe'!$K$2:$K$300,"Zaliczony"))</f>
        <v/>
      </c>
      <c r="G36" s="0" t="str">
        <f aca="false">IF(A36="","",COUNTIFS('Przypadki testowe'!$C$2:$C$300,"*"&amp;A36&amp;"*",'Przypadki testowe'!$K$2:$K$300,"Niezaliczony"))</f>
        <v/>
      </c>
      <c r="H36" s="0" t="str">
        <f aca="false">IF(A36="","",IF(E36&gt;0,"Pokryte","BRAK"))</f>
        <v/>
      </c>
    </row>
    <row r="37" customFormat="false" ht="15" hidden="false" customHeight="false" outlineLevel="0" collapsed="false">
      <c r="E37" s="0" t="str">
        <f aca="false">IF(A37="","",COUNTIF('Przypadki testowe'!$C$2:$C$300,"*"&amp;A37&amp;"*"))</f>
        <v/>
      </c>
      <c r="F37" s="0" t="str">
        <f aca="false">IF(A37="","",COUNTIFS('Przypadki testowe'!$C$2:$C$300,"*"&amp;A37&amp;"*",'Przypadki testowe'!$K$2:$K$300,"Zaliczony"))</f>
        <v/>
      </c>
      <c r="G37" s="0" t="str">
        <f aca="false">IF(A37="","",COUNTIFS('Przypadki testowe'!$C$2:$C$300,"*"&amp;A37&amp;"*",'Przypadki testowe'!$K$2:$K$300,"Niezaliczony"))</f>
        <v/>
      </c>
      <c r="H37" s="0" t="str">
        <f aca="false">IF(A37="","",IF(E37&gt;0,"Pokryte","BRAK"))</f>
        <v/>
      </c>
    </row>
    <row r="38" customFormat="false" ht="15" hidden="false" customHeight="false" outlineLevel="0" collapsed="false">
      <c r="E38" s="0" t="str">
        <f aca="false">IF(A38="","",COUNTIF('Przypadki testowe'!$C$2:$C$300,"*"&amp;A38&amp;"*"))</f>
        <v/>
      </c>
      <c r="F38" s="0" t="str">
        <f aca="false">IF(A38="","",COUNTIFS('Przypadki testowe'!$C$2:$C$300,"*"&amp;A38&amp;"*",'Przypadki testowe'!$K$2:$K$300,"Zaliczony"))</f>
        <v/>
      </c>
      <c r="G38" s="0" t="str">
        <f aca="false">IF(A38="","",COUNTIFS('Przypadki testowe'!$C$2:$C$300,"*"&amp;A38&amp;"*",'Przypadki testowe'!$K$2:$K$300,"Niezaliczony"))</f>
        <v/>
      </c>
      <c r="H38" s="0" t="str">
        <f aca="false">IF(A38="","",IF(E38&gt;0,"Pokryte","BRAK"))</f>
        <v/>
      </c>
    </row>
    <row r="39" customFormat="false" ht="15" hidden="false" customHeight="false" outlineLevel="0" collapsed="false">
      <c r="E39" s="0" t="str">
        <f aca="false">IF(A39="","",COUNTIF('Przypadki testowe'!$C$2:$C$300,"*"&amp;A39&amp;"*"))</f>
        <v/>
      </c>
      <c r="F39" s="0" t="str">
        <f aca="false">IF(A39="","",COUNTIFS('Przypadki testowe'!$C$2:$C$300,"*"&amp;A39&amp;"*",'Przypadki testowe'!$K$2:$K$300,"Zaliczony"))</f>
        <v/>
      </c>
      <c r="G39" s="0" t="str">
        <f aca="false">IF(A39="","",COUNTIFS('Przypadki testowe'!$C$2:$C$300,"*"&amp;A39&amp;"*",'Przypadki testowe'!$K$2:$K$300,"Niezaliczony"))</f>
        <v/>
      </c>
      <c r="H39" s="0" t="str">
        <f aca="false">IF(A39="","",IF(E39&gt;0,"Pokryte","BRAK"))</f>
        <v/>
      </c>
    </row>
    <row r="40" customFormat="false" ht="15" hidden="false" customHeight="false" outlineLevel="0" collapsed="false">
      <c r="E40" s="0" t="str">
        <f aca="false">IF(A40="","",COUNTIF('Przypadki testowe'!$C$2:$C$300,"*"&amp;A40&amp;"*"))</f>
        <v/>
      </c>
      <c r="F40" s="0" t="str">
        <f aca="false">IF(A40="","",COUNTIFS('Przypadki testowe'!$C$2:$C$300,"*"&amp;A40&amp;"*",'Przypadki testowe'!$K$2:$K$300,"Zaliczony"))</f>
        <v/>
      </c>
      <c r="G40" s="0" t="str">
        <f aca="false">IF(A40="","",COUNTIFS('Przypadki testowe'!$C$2:$C$300,"*"&amp;A40&amp;"*",'Przypadki testowe'!$K$2:$K$300,"Niezaliczony"))</f>
        <v/>
      </c>
      <c r="H40" s="0" t="str">
        <f aca="false">IF(A40="","",IF(E40&gt;0,"Pokryte","BRAK"))</f>
        <v/>
      </c>
    </row>
    <row r="41" customFormat="false" ht="15" hidden="false" customHeight="false" outlineLevel="0" collapsed="false">
      <c r="E41" s="0" t="str">
        <f aca="false">IF(A41="","",COUNTIF('Przypadki testowe'!$C$2:$C$300,"*"&amp;A41&amp;"*"))</f>
        <v/>
      </c>
      <c r="F41" s="0" t="str">
        <f aca="false">IF(A41="","",COUNTIFS('Przypadki testowe'!$C$2:$C$300,"*"&amp;A41&amp;"*",'Przypadki testowe'!$K$2:$K$300,"Zaliczony"))</f>
        <v/>
      </c>
      <c r="G41" s="0" t="str">
        <f aca="false">IF(A41="","",COUNTIFS('Przypadki testowe'!$C$2:$C$300,"*"&amp;A41&amp;"*",'Przypadki testowe'!$K$2:$K$300,"Niezaliczony"))</f>
        <v/>
      </c>
      <c r="H41" s="0" t="str">
        <f aca="false">IF(A41="","",IF(E41&gt;0,"Pokryte","BRAK"))</f>
        <v/>
      </c>
    </row>
    <row r="42" customFormat="false" ht="15" hidden="false" customHeight="false" outlineLevel="0" collapsed="false">
      <c r="E42" s="0" t="str">
        <f aca="false">IF(A42="","",COUNTIF('Przypadki testowe'!$C$2:$C$300,"*"&amp;A42&amp;"*"))</f>
        <v/>
      </c>
      <c r="F42" s="0" t="str">
        <f aca="false">IF(A42="","",COUNTIFS('Przypadki testowe'!$C$2:$C$300,"*"&amp;A42&amp;"*",'Przypadki testowe'!$K$2:$K$300,"Zaliczony"))</f>
        <v/>
      </c>
      <c r="G42" s="0" t="str">
        <f aca="false">IF(A42="","",COUNTIFS('Przypadki testowe'!$C$2:$C$300,"*"&amp;A42&amp;"*",'Przypadki testowe'!$K$2:$K$300,"Niezaliczony"))</f>
        <v/>
      </c>
      <c r="H42" s="0" t="str">
        <f aca="false">IF(A42="","",IF(E42&gt;0,"Pokryte","BRAK"))</f>
        <v/>
      </c>
    </row>
    <row r="43" customFormat="false" ht="15" hidden="false" customHeight="false" outlineLevel="0" collapsed="false">
      <c r="E43" s="0" t="str">
        <f aca="false">IF(A43="","",COUNTIF('Przypadki testowe'!$C$2:$C$300,"*"&amp;A43&amp;"*"))</f>
        <v/>
      </c>
      <c r="F43" s="0" t="str">
        <f aca="false">IF(A43="","",COUNTIFS('Przypadki testowe'!$C$2:$C$300,"*"&amp;A43&amp;"*",'Przypadki testowe'!$K$2:$K$300,"Zaliczony"))</f>
        <v/>
      </c>
      <c r="G43" s="0" t="str">
        <f aca="false">IF(A43="","",COUNTIFS('Przypadki testowe'!$C$2:$C$300,"*"&amp;A43&amp;"*",'Przypadki testowe'!$K$2:$K$300,"Niezaliczony"))</f>
        <v/>
      </c>
      <c r="H43" s="0" t="str">
        <f aca="false">IF(A43="","",IF(E43&gt;0,"Pokryte","BRAK"))</f>
        <v/>
      </c>
    </row>
    <row r="44" customFormat="false" ht="15" hidden="false" customHeight="false" outlineLevel="0" collapsed="false">
      <c r="E44" s="0" t="str">
        <f aca="false">IF(A44="","",COUNTIF('Przypadki testowe'!$C$2:$C$300,"*"&amp;A44&amp;"*"))</f>
        <v/>
      </c>
      <c r="F44" s="0" t="str">
        <f aca="false">IF(A44="","",COUNTIFS('Przypadki testowe'!$C$2:$C$300,"*"&amp;A44&amp;"*",'Przypadki testowe'!$K$2:$K$300,"Zaliczony"))</f>
        <v/>
      </c>
      <c r="G44" s="0" t="str">
        <f aca="false">IF(A44="","",COUNTIFS('Przypadki testowe'!$C$2:$C$300,"*"&amp;A44&amp;"*",'Przypadki testowe'!$K$2:$K$300,"Niezaliczony"))</f>
        <v/>
      </c>
      <c r="H44" s="0" t="str">
        <f aca="false">IF(A44="","",IF(E44&gt;0,"Pokryte","BRAK"))</f>
        <v/>
      </c>
    </row>
    <row r="45" customFormat="false" ht="15" hidden="false" customHeight="false" outlineLevel="0" collapsed="false">
      <c r="E45" s="0" t="str">
        <f aca="false">IF(A45="","",COUNTIF('Przypadki testowe'!$C$2:$C$300,"*"&amp;A45&amp;"*"))</f>
        <v/>
      </c>
      <c r="F45" s="0" t="str">
        <f aca="false">IF(A45="","",COUNTIFS('Przypadki testowe'!$C$2:$C$300,"*"&amp;A45&amp;"*",'Przypadki testowe'!$K$2:$K$300,"Zaliczony"))</f>
        <v/>
      </c>
      <c r="G45" s="0" t="str">
        <f aca="false">IF(A45="","",COUNTIFS('Przypadki testowe'!$C$2:$C$300,"*"&amp;A45&amp;"*",'Przypadki testowe'!$K$2:$K$300,"Niezaliczony"))</f>
        <v/>
      </c>
      <c r="H45" s="0" t="str">
        <f aca="false">IF(A45="","",IF(E45&gt;0,"Pokryte","BRAK"))</f>
        <v/>
      </c>
    </row>
    <row r="46" customFormat="false" ht="15" hidden="false" customHeight="false" outlineLevel="0" collapsed="false">
      <c r="E46" s="0" t="str">
        <f aca="false">IF(A46="","",COUNTIF('Przypadki testowe'!$C$2:$C$300,"*"&amp;A46&amp;"*"))</f>
        <v/>
      </c>
      <c r="F46" s="0" t="str">
        <f aca="false">IF(A46="","",COUNTIFS('Przypadki testowe'!$C$2:$C$300,"*"&amp;A46&amp;"*",'Przypadki testowe'!$K$2:$K$300,"Zaliczony"))</f>
        <v/>
      </c>
      <c r="G46" s="0" t="str">
        <f aca="false">IF(A46="","",COUNTIFS('Przypadki testowe'!$C$2:$C$300,"*"&amp;A46&amp;"*",'Przypadki testowe'!$K$2:$K$300,"Niezaliczony"))</f>
        <v/>
      </c>
      <c r="H46" s="0" t="str">
        <f aca="false">IF(A46="","",IF(E46&gt;0,"Pokryte","BRAK"))</f>
        <v/>
      </c>
    </row>
    <row r="47" customFormat="false" ht="15" hidden="false" customHeight="false" outlineLevel="0" collapsed="false">
      <c r="E47" s="0" t="str">
        <f aca="false">IF(A47="","",COUNTIF('Przypadki testowe'!$C$2:$C$300,"*"&amp;A47&amp;"*"))</f>
        <v/>
      </c>
      <c r="F47" s="0" t="str">
        <f aca="false">IF(A47="","",COUNTIFS('Przypadki testowe'!$C$2:$C$300,"*"&amp;A47&amp;"*",'Przypadki testowe'!$K$2:$K$300,"Zaliczony"))</f>
        <v/>
      </c>
      <c r="G47" s="0" t="str">
        <f aca="false">IF(A47="","",COUNTIFS('Przypadki testowe'!$C$2:$C$300,"*"&amp;A47&amp;"*",'Przypadki testowe'!$K$2:$K$300,"Niezaliczony"))</f>
        <v/>
      </c>
      <c r="H47" s="0" t="str">
        <f aca="false">IF(A47="","",IF(E47&gt;0,"Pokryte","BRAK"))</f>
        <v/>
      </c>
    </row>
    <row r="48" customFormat="false" ht="15" hidden="false" customHeight="false" outlineLevel="0" collapsed="false">
      <c r="E48" s="0" t="str">
        <f aca="false">IF(A48="","",COUNTIF('Przypadki testowe'!$C$2:$C$300,"*"&amp;A48&amp;"*"))</f>
        <v/>
      </c>
      <c r="F48" s="0" t="str">
        <f aca="false">IF(A48="","",COUNTIFS('Przypadki testowe'!$C$2:$C$300,"*"&amp;A48&amp;"*",'Przypadki testowe'!$K$2:$K$300,"Zaliczony"))</f>
        <v/>
      </c>
      <c r="G48" s="0" t="str">
        <f aca="false">IF(A48="","",COUNTIFS('Przypadki testowe'!$C$2:$C$300,"*"&amp;A48&amp;"*",'Przypadki testowe'!$K$2:$K$300,"Niezaliczony"))</f>
        <v/>
      </c>
      <c r="H48" s="0" t="str">
        <f aca="false">IF(A48="","",IF(E48&gt;0,"Pokryte","BRAK"))</f>
        <v/>
      </c>
    </row>
    <row r="49" customFormat="false" ht="15" hidden="false" customHeight="false" outlineLevel="0" collapsed="false">
      <c r="E49" s="0" t="str">
        <f aca="false">IF(A49="","",COUNTIF('Przypadki testowe'!$C$2:$C$300,"*"&amp;A49&amp;"*"))</f>
        <v/>
      </c>
      <c r="F49" s="0" t="str">
        <f aca="false">IF(A49="","",COUNTIFS('Przypadki testowe'!$C$2:$C$300,"*"&amp;A49&amp;"*",'Przypadki testowe'!$K$2:$K$300,"Zaliczony"))</f>
        <v/>
      </c>
      <c r="G49" s="0" t="str">
        <f aca="false">IF(A49="","",COUNTIFS('Przypadki testowe'!$C$2:$C$300,"*"&amp;A49&amp;"*",'Przypadki testowe'!$K$2:$K$300,"Niezaliczony"))</f>
        <v/>
      </c>
      <c r="H49" s="0" t="str">
        <f aca="false">IF(A49="","",IF(E49&gt;0,"Pokryte","BRAK"))</f>
        <v/>
      </c>
    </row>
    <row r="50" customFormat="false" ht="15" hidden="false" customHeight="false" outlineLevel="0" collapsed="false">
      <c r="E50" s="0" t="str">
        <f aca="false">IF(A50="","",COUNTIF('Przypadki testowe'!$C$2:$C$300,"*"&amp;A50&amp;"*"))</f>
        <v/>
      </c>
      <c r="F50" s="0" t="str">
        <f aca="false">IF(A50="","",COUNTIFS('Przypadki testowe'!$C$2:$C$300,"*"&amp;A50&amp;"*",'Przypadki testowe'!$K$2:$K$300,"Zaliczony"))</f>
        <v/>
      </c>
      <c r="G50" s="0" t="str">
        <f aca="false">IF(A50="","",COUNTIFS('Przypadki testowe'!$C$2:$C$300,"*"&amp;A50&amp;"*",'Przypadki testowe'!$K$2:$K$300,"Niezaliczony"))</f>
        <v/>
      </c>
      <c r="H50" s="0" t="str">
        <f aca="false">IF(A50="","",IF(E50&gt;0,"Pokryte","BRAK"))</f>
        <v/>
      </c>
    </row>
    <row r="51" customFormat="false" ht="15" hidden="false" customHeight="false" outlineLevel="0" collapsed="false">
      <c r="E51" s="0" t="str">
        <f aca="false">IF(A51="","",COUNTIF('Przypadki testowe'!$C$2:$C$300,"*"&amp;A51&amp;"*"))</f>
        <v/>
      </c>
      <c r="F51" s="0" t="str">
        <f aca="false">IF(A51="","",COUNTIFS('Przypadki testowe'!$C$2:$C$300,"*"&amp;A51&amp;"*",'Przypadki testowe'!$K$2:$K$300,"Zaliczony"))</f>
        <v/>
      </c>
      <c r="G51" s="0" t="str">
        <f aca="false">IF(A51="","",COUNTIFS('Przypadki testowe'!$C$2:$C$300,"*"&amp;A51&amp;"*",'Przypadki testowe'!$K$2:$K$300,"Niezaliczony"))</f>
        <v/>
      </c>
      <c r="H51" s="0" t="str">
        <f aca="false">IF(A51="","",IF(E51&gt;0,"Pokryte","BRAK"))</f>
        <v/>
      </c>
    </row>
    <row r="52" customFormat="false" ht="15" hidden="false" customHeight="false" outlineLevel="0" collapsed="false">
      <c r="E52" s="0" t="str">
        <f aca="false">IF(A52="","",COUNTIF('Przypadki testowe'!$C$2:$C$300,"*"&amp;A52&amp;"*"))</f>
        <v/>
      </c>
      <c r="F52" s="0" t="str">
        <f aca="false">IF(A52="","",COUNTIFS('Przypadki testowe'!$C$2:$C$300,"*"&amp;A52&amp;"*",'Przypadki testowe'!$K$2:$K$300,"Zaliczony"))</f>
        <v/>
      </c>
      <c r="G52" s="0" t="str">
        <f aca="false">IF(A52="","",COUNTIFS('Przypadki testowe'!$C$2:$C$300,"*"&amp;A52&amp;"*",'Przypadki testowe'!$K$2:$K$300,"Niezaliczony"))</f>
        <v/>
      </c>
      <c r="H52" s="0" t="str">
        <f aca="false">IF(A52="","",IF(E52&gt;0,"Pokryte","BRAK"))</f>
        <v/>
      </c>
    </row>
    <row r="53" customFormat="false" ht="15" hidden="false" customHeight="false" outlineLevel="0" collapsed="false">
      <c r="E53" s="0" t="str">
        <f aca="false">IF(A53="","",COUNTIF('Przypadki testowe'!$C$2:$C$300,"*"&amp;A53&amp;"*"))</f>
        <v/>
      </c>
      <c r="F53" s="0" t="str">
        <f aca="false">IF(A53="","",COUNTIFS('Przypadki testowe'!$C$2:$C$300,"*"&amp;A53&amp;"*",'Przypadki testowe'!$K$2:$K$300,"Zaliczony"))</f>
        <v/>
      </c>
      <c r="G53" s="0" t="str">
        <f aca="false">IF(A53="","",COUNTIFS('Przypadki testowe'!$C$2:$C$300,"*"&amp;A53&amp;"*",'Przypadki testowe'!$K$2:$K$300,"Niezaliczony"))</f>
        <v/>
      </c>
      <c r="H53" s="0" t="str">
        <f aca="false">IF(A53="","",IF(E53&gt;0,"Pokryte","BRAK"))</f>
        <v/>
      </c>
    </row>
    <row r="54" customFormat="false" ht="15" hidden="false" customHeight="false" outlineLevel="0" collapsed="false">
      <c r="E54" s="0" t="str">
        <f aca="false">IF(A54="","",COUNTIF('Przypadki testowe'!$C$2:$C$300,"*"&amp;A54&amp;"*"))</f>
        <v/>
      </c>
      <c r="F54" s="0" t="str">
        <f aca="false">IF(A54="","",COUNTIFS('Przypadki testowe'!$C$2:$C$300,"*"&amp;A54&amp;"*",'Przypadki testowe'!$K$2:$K$300,"Zaliczony"))</f>
        <v/>
      </c>
      <c r="G54" s="0" t="str">
        <f aca="false">IF(A54="","",COUNTIFS('Przypadki testowe'!$C$2:$C$300,"*"&amp;A54&amp;"*",'Przypadki testowe'!$K$2:$K$300,"Niezaliczony"))</f>
        <v/>
      </c>
      <c r="H54" s="0" t="str">
        <f aca="false">IF(A54="","",IF(E54&gt;0,"Pokryte","BRAK"))</f>
        <v/>
      </c>
    </row>
    <row r="55" customFormat="false" ht="15" hidden="false" customHeight="false" outlineLevel="0" collapsed="false">
      <c r="E55" s="0" t="str">
        <f aca="false">IF(A55="","",COUNTIF('Przypadki testowe'!$C$2:$C$300,"*"&amp;A55&amp;"*"))</f>
        <v/>
      </c>
      <c r="F55" s="0" t="str">
        <f aca="false">IF(A55="","",COUNTIFS('Przypadki testowe'!$C$2:$C$300,"*"&amp;A55&amp;"*",'Przypadki testowe'!$K$2:$K$300,"Zaliczony"))</f>
        <v/>
      </c>
      <c r="G55" s="0" t="str">
        <f aca="false">IF(A55="","",COUNTIFS('Przypadki testowe'!$C$2:$C$300,"*"&amp;A55&amp;"*",'Przypadki testowe'!$K$2:$K$300,"Niezaliczony"))</f>
        <v/>
      </c>
      <c r="H55" s="0" t="str">
        <f aca="false">IF(A55="","",IF(E55&gt;0,"Pokryte","BRAK"))</f>
        <v/>
      </c>
    </row>
    <row r="56" customFormat="false" ht="15" hidden="false" customHeight="false" outlineLevel="0" collapsed="false">
      <c r="E56" s="0" t="str">
        <f aca="false">IF(A56="","",COUNTIF('Przypadki testowe'!$C$2:$C$300,"*"&amp;A56&amp;"*"))</f>
        <v/>
      </c>
      <c r="F56" s="0" t="str">
        <f aca="false">IF(A56="","",COUNTIFS('Przypadki testowe'!$C$2:$C$300,"*"&amp;A56&amp;"*",'Przypadki testowe'!$K$2:$K$300,"Zaliczony"))</f>
        <v/>
      </c>
      <c r="G56" s="0" t="str">
        <f aca="false">IF(A56="","",COUNTIFS('Przypadki testowe'!$C$2:$C$300,"*"&amp;A56&amp;"*",'Przypadki testowe'!$K$2:$K$300,"Niezaliczony"))</f>
        <v/>
      </c>
      <c r="H56" s="0" t="str">
        <f aca="false">IF(A56="","",IF(E56&gt;0,"Pokryte","BRAK"))</f>
        <v/>
      </c>
    </row>
    <row r="57" customFormat="false" ht="15" hidden="false" customHeight="false" outlineLevel="0" collapsed="false">
      <c r="E57" s="0" t="str">
        <f aca="false">IF(A57="","",COUNTIF('Przypadki testowe'!$C$2:$C$300,"*"&amp;A57&amp;"*"))</f>
        <v/>
      </c>
      <c r="F57" s="0" t="str">
        <f aca="false">IF(A57="","",COUNTIFS('Przypadki testowe'!$C$2:$C$300,"*"&amp;A57&amp;"*",'Przypadki testowe'!$K$2:$K$300,"Zaliczony"))</f>
        <v/>
      </c>
      <c r="G57" s="0" t="str">
        <f aca="false">IF(A57="","",COUNTIFS('Przypadki testowe'!$C$2:$C$300,"*"&amp;A57&amp;"*",'Przypadki testowe'!$K$2:$K$300,"Niezaliczony"))</f>
        <v/>
      </c>
      <c r="H57" s="0" t="str">
        <f aca="false">IF(A57="","",IF(E57&gt;0,"Pokryte","BRAK"))</f>
        <v/>
      </c>
    </row>
    <row r="58" customFormat="false" ht="15" hidden="false" customHeight="false" outlineLevel="0" collapsed="false">
      <c r="E58" s="0" t="str">
        <f aca="false">IF(A58="","",COUNTIF('Przypadki testowe'!$C$2:$C$300,"*"&amp;A58&amp;"*"))</f>
        <v/>
      </c>
      <c r="F58" s="0" t="str">
        <f aca="false">IF(A58="","",COUNTIFS('Przypadki testowe'!$C$2:$C$300,"*"&amp;A58&amp;"*",'Przypadki testowe'!$K$2:$K$300,"Zaliczony"))</f>
        <v/>
      </c>
      <c r="G58" s="0" t="str">
        <f aca="false">IF(A58="","",COUNTIFS('Przypadki testowe'!$C$2:$C$300,"*"&amp;A58&amp;"*",'Przypadki testowe'!$K$2:$K$300,"Niezaliczony"))</f>
        <v/>
      </c>
      <c r="H58" s="0" t="str">
        <f aca="false">IF(A58="","",IF(E58&gt;0,"Pokryte","BRAK"))</f>
        <v/>
      </c>
    </row>
    <row r="59" customFormat="false" ht="15" hidden="false" customHeight="false" outlineLevel="0" collapsed="false">
      <c r="E59" s="0" t="str">
        <f aca="false">IF(A59="","",COUNTIF('Przypadki testowe'!$C$2:$C$300,"*"&amp;A59&amp;"*"))</f>
        <v/>
      </c>
      <c r="F59" s="0" t="str">
        <f aca="false">IF(A59="","",COUNTIFS('Przypadki testowe'!$C$2:$C$300,"*"&amp;A59&amp;"*",'Przypadki testowe'!$K$2:$K$300,"Zaliczony"))</f>
        <v/>
      </c>
      <c r="G59" s="0" t="str">
        <f aca="false">IF(A59="","",COUNTIFS('Przypadki testowe'!$C$2:$C$300,"*"&amp;A59&amp;"*",'Przypadki testowe'!$K$2:$K$300,"Niezaliczony"))</f>
        <v/>
      </c>
      <c r="H59" s="0" t="str">
        <f aca="false">IF(A59="","",IF(E59&gt;0,"Pokryte","BRAK"))</f>
        <v/>
      </c>
    </row>
    <row r="60" customFormat="false" ht="15" hidden="false" customHeight="false" outlineLevel="0" collapsed="false">
      <c r="E60" s="0" t="str">
        <f aca="false">IF(A60="","",COUNTIF('Przypadki testowe'!$C$2:$C$300,"*"&amp;A60&amp;"*"))</f>
        <v/>
      </c>
      <c r="F60" s="0" t="str">
        <f aca="false">IF(A60="","",COUNTIFS('Przypadki testowe'!$C$2:$C$300,"*"&amp;A60&amp;"*",'Przypadki testowe'!$K$2:$K$300,"Zaliczony"))</f>
        <v/>
      </c>
      <c r="G60" s="0" t="str">
        <f aca="false">IF(A60="","",COUNTIFS('Przypadki testowe'!$C$2:$C$300,"*"&amp;A60&amp;"*",'Przypadki testowe'!$K$2:$K$300,"Niezaliczony"))</f>
        <v/>
      </c>
      <c r="H60" s="0" t="str">
        <f aca="false">IF(A60="","",IF(E60&gt;0,"Pokryte","BRAK"))</f>
        <v/>
      </c>
    </row>
    <row r="61" customFormat="false" ht="15" hidden="false" customHeight="false" outlineLevel="0" collapsed="false">
      <c r="E61" s="0" t="str">
        <f aca="false">IF(A61="","",COUNTIF('Przypadki testowe'!$C$2:$C$300,"*"&amp;A61&amp;"*"))</f>
        <v/>
      </c>
      <c r="F61" s="0" t="str">
        <f aca="false">IF(A61="","",COUNTIFS('Przypadki testowe'!$C$2:$C$300,"*"&amp;A61&amp;"*",'Przypadki testowe'!$K$2:$K$300,"Zaliczony"))</f>
        <v/>
      </c>
      <c r="G61" s="0" t="str">
        <f aca="false">IF(A61="","",COUNTIFS('Przypadki testowe'!$C$2:$C$300,"*"&amp;A61&amp;"*",'Przypadki testowe'!$K$2:$K$300,"Niezaliczony"))</f>
        <v/>
      </c>
      <c r="H61" s="0" t="str">
        <f aca="false">IF(A61="","",IF(E61&gt;0,"Pokryte","BRAK"))</f>
        <v/>
      </c>
    </row>
    <row r="62" customFormat="false" ht="15" hidden="false" customHeight="false" outlineLevel="0" collapsed="false">
      <c r="E62" s="0" t="str">
        <f aca="false">IF(A62="","",COUNTIF('Przypadki testowe'!$C$2:$C$300,"*"&amp;A62&amp;"*"))</f>
        <v/>
      </c>
      <c r="F62" s="0" t="str">
        <f aca="false">IF(A62="","",COUNTIFS('Przypadki testowe'!$C$2:$C$300,"*"&amp;A62&amp;"*",'Przypadki testowe'!$K$2:$K$300,"Zaliczony"))</f>
        <v/>
      </c>
      <c r="G62" s="0" t="str">
        <f aca="false">IF(A62="","",COUNTIFS('Przypadki testowe'!$C$2:$C$300,"*"&amp;A62&amp;"*",'Przypadki testowe'!$K$2:$K$300,"Niezaliczony"))</f>
        <v/>
      </c>
      <c r="H62" s="0" t="str">
        <f aca="false">IF(A62="","",IF(E62&gt;0,"Pokryte","BRAK"))</f>
        <v/>
      </c>
    </row>
    <row r="63" customFormat="false" ht="15" hidden="false" customHeight="false" outlineLevel="0" collapsed="false">
      <c r="E63" s="0" t="str">
        <f aca="false">IF(A63="","",COUNTIF('Przypadki testowe'!$C$2:$C$300,"*"&amp;A63&amp;"*"))</f>
        <v/>
      </c>
      <c r="F63" s="0" t="str">
        <f aca="false">IF(A63="","",COUNTIFS('Przypadki testowe'!$C$2:$C$300,"*"&amp;A63&amp;"*",'Przypadki testowe'!$K$2:$K$300,"Zaliczony"))</f>
        <v/>
      </c>
      <c r="G63" s="0" t="str">
        <f aca="false">IF(A63="","",COUNTIFS('Przypadki testowe'!$C$2:$C$300,"*"&amp;A63&amp;"*",'Przypadki testowe'!$K$2:$K$300,"Niezaliczony"))</f>
        <v/>
      </c>
      <c r="H63" s="0" t="str">
        <f aca="false">IF(A63="","",IF(E63&gt;0,"Pokryte","BRAK"))</f>
        <v/>
      </c>
    </row>
    <row r="64" customFormat="false" ht="15" hidden="false" customHeight="false" outlineLevel="0" collapsed="false">
      <c r="E64" s="0" t="str">
        <f aca="false">IF(A64="","",COUNTIF('Przypadki testowe'!$C$2:$C$300,"*"&amp;A64&amp;"*"))</f>
        <v/>
      </c>
      <c r="F64" s="0" t="str">
        <f aca="false">IF(A64="","",COUNTIFS('Przypadki testowe'!$C$2:$C$300,"*"&amp;A64&amp;"*",'Przypadki testowe'!$K$2:$K$300,"Zaliczony"))</f>
        <v/>
      </c>
      <c r="G64" s="0" t="str">
        <f aca="false">IF(A64="","",COUNTIFS('Przypadki testowe'!$C$2:$C$300,"*"&amp;A64&amp;"*",'Przypadki testowe'!$K$2:$K$300,"Niezaliczony"))</f>
        <v/>
      </c>
      <c r="H64" s="0" t="str">
        <f aca="false">IF(A64="","",IF(E64&gt;0,"Pokryte","BRAK"))</f>
        <v/>
      </c>
    </row>
    <row r="65" customFormat="false" ht="15" hidden="false" customHeight="false" outlineLevel="0" collapsed="false">
      <c r="E65" s="0" t="str">
        <f aca="false">IF(A65="","",COUNTIF('Przypadki testowe'!$C$2:$C$300,"*"&amp;A65&amp;"*"))</f>
        <v/>
      </c>
      <c r="F65" s="0" t="str">
        <f aca="false">IF(A65="","",COUNTIFS('Przypadki testowe'!$C$2:$C$300,"*"&amp;A65&amp;"*",'Przypadki testowe'!$K$2:$K$300,"Zaliczony"))</f>
        <v/>
      </c>
      <c r="G65" s="0" t="str">
        <f aca="false">IF(A65="","",COUNTIFS('Przypadki testowe'!$C$2:$C$300,"*"&amp;A65&amp;"*",'Przypadki testowe'!$K$2:$K$300,"Niezaliczony"))</f>
        <v/>
      </c>
      <c r="H65" s="0" t="str">
        <f aca="false">IF(A65="","",IF(E65&gt;0,"Pokryte","BRAK"))</f>
        <v/>
      </c>
    </row>
    <row r="66" customFormat="false" ht="15" hidden="false" customHeight="false" outlineLevel="0" collapsed="false">
      <c r="E66" s="0" t="str">
        <f aca="false">IF(A66="","",COUNTIF('Przypadki testowe'!$C$2:$C$300,"*"&amp;A66&amp;"*"))</f>
        <v/>
      </c>
      <c r="F66" s="0" t="str">
        <f aca="false">IF(A66="","",COUNTIFS('Przypadki testowe'!$C$2:$C$300,"*"&amp;A66&amp;"*",'Przypadki testowe'!$K$2:$K$300,"Zaliczony"))</f>
        <v/>
      </c>
      <c r="G66" s="0" t="str">
        <f aca="false">IF(A66="","",COUNTIFS('Przypadki testowe'!$C$2:$C$300,"*"&amp;A66&amp;"*",'Przypadki testowe'!$K$2:$K$300,"Niezaliczony"))</f>
        <v/>
      </c>
      <c r="H66" s="0" t="str">
        <f aca="false">IF(A66="","",IF(E66&gt;0,"Pokryte","BRAK"))</f>
        <v/>
      </c>
    </row>
    <row r="67" customFormat="false" ht="15" hidden="false" customHeight="false" outlineLevel="0" collapsed="false">
      <c r="E67" s="0" t="str">
        <f aca="false">IF(A67="","",COUNTIF('Przypadki testowe'!$C$2:$C$300,"*"&amp;A67&amp;"*"))</f>
        <v/>
      </c>
      <c r="F67" s="0" t="str">
        <f aca="false">IF(A67="","",COUNTIFS('Przypadki testowe'!$C$2:$C$300,"*"&amp;A67&amp;"*",'Przypadki testowe'!$K$2:$K$300,"Zaliczony"))</f>
        <v/>
      </c>
      <c r="G67" s="0" t="str">
        <f aca="false">IF(A67="","",COUNTIFS('Przypadki testowe'!$C$2:$C$300,"*"&amp;A67&amp;"*",'Przypadki testowe'!$K$2:$K$300,"Niezaliczony"))</f>
        <v/>
      </c>
      <c r="H67" s="0" t="str">
        <f aca="false">IF(A67="","",IF(E67&gt;0,"Pokryte","BRAK"))</f>
        <v/>
      </c>
    </row>
    <row r="68" customFormat="false" ht="15" hidden="false" customHeight="false" outlineLevel="0" collapsed="false">
      <c r="E68" s="0" t="str">
        <f aca="false">IF(A68="","",COUNTIF('Przypadki testowe'!$C$2:$C$300,"*"&amp;A68&amp;"*"))</f>
        <v/>
      </c>
      <c r="F68" s="0" t="str">
        <f aca="false">IF(A68="","",COUNTIFS('Przypadki testowe'!$C$2:$C$300,"*"&amp;A68&amp;"*",'Przypadki testowe'!$K$2:$K$300,"Zaliczony"))</f>
        <v/>
      </c>
      <c r="G68" s="0" t="str">
        <f aca="false">IF(A68="","",COUNTIFS('Przypadki testowe'!$C$2:$C$300,"*"&amp;A68&amp;"*",'Przypadki testowe'!$K$2:$K$300,"Niezaliczony"))</f>
        <v/>
      </c>
      <c r="H68" s="0" t="str">
        <f aca="false">IF(A68="","",IF(E68&gt;0,"Pokryte","BRAK"))</f>
        <v/>
      </c>
    </row>
    <row r="69" customFormat="false" ht="15" hidden="false" customHeight="false" outlineLevel="0" collapsed="false">
      <c r="E69" s="0" t="str">
        <f aca="false">IF(A69="","",COUNTIF('Przypadki testowe'!$C$2:$C$300,"*"&amp;A69&amp;"*"))</f>
        <v/>
      </c>
      <c r="F69" s="0" t="str">
        <f aca="false">IF(A69="","",COUNTIFS('Przypadki testowe'!$C$2:$C$300,"*"&amp;A69&amp;"*",'Przypadki testowe'!$K$2:$K$300,"Zaliczony"))</f>
        <v/>
      </c>
      <c r="G69" s="0" t="str">
        <f aca="false">IF(A69="","",COUNTIFS('Przypadki testowe'!$C$2:$C$300,"*"&amp;A69&amp;"*",'Przypadki testowe'!$K$2:$K$300,"Niezaliczony"))</f>
        <v/>
      </c>
      <c r="H69" s="0" t="str">
        <f aca="false">IF(A69="","",IF(E69&gt;0,"Pokryte","BRAK"))</f>
        <v/>
      </c>
    </row>
    <row r="70" customFormat="false" ht="15" hidden="false" customHeight="false" outlineLevel="0" collapsed="false">
      <c r="E70" s="0" t="str">
        <f aca="false">IF(A70="","",COUNTIF('Przypadki testowe'!$C$2:$C$300,"*"&amp;A70&amp;"*"))</f>
        <v/>
      </c>
      <c r="F70" s="0" t="str">
        <f aca="false">IF(A70="","",COUNTIFS('Przypadki testowe'!$C$2:$C$300,"*"&amp;A70&amp;"*",'Przypadki testowe'!$K$2:$K$300,"Zaliczony"))</f>
        <v/>
      </c>
      <c r="G70" s="0" t="str">
        <f aca="false">IF(A70="","",COUNTIFS('Przypadki testowe'!$C$2:$C$300,"*"&amp;A70&amp;"*",'Przypadki testowe'!$K$2:$K$300,"Niezaliczony"))</f>
        <v/>
      </c>
      <c r="H70" s="0" t="str">
        <f aca="false">IF(A70="","",IF(E70&gt;0,"Pokryte","BRAK"))</f>
        <v/>
      </c>
    </row>
    <row r="71" customFormat="false" ht="15" hidden="false" customHeight="false" outlineLevel="0" collapsed="false">
      <c r="E71" s="0" t="str">
        <f aca="false">IF(A71="","",COUNTIF('Przypadki testowe'!$C$2:$C$300,"*"&amp;A71&amp;"*"))</f>
        <v/>
      </c>
      <c r="F71" s="0" t="str">
        <f aca="false">IF(A71="","",COUNTIFS('Przypadki testowe'!$C$2:$C$300,"*"&amp;A71&amp;"*",'Przypadki testowe'!$K$2:$K$300,"Zaliczony"))</f>
        <v/>
      </c>
      <c r="G71" s="0" t="str">
        <f aca="false">IF(A71="","",COUNTIFS('Przypadki testowe'!$C$2:$C$300,"*"&amp;A71&amp;"*",'Przypadki testowe'!$K$2:$K$300,"Niezaliczony"))</f>
        <v/>
      </c>
      <c r="H71" s="0" t="str">
        <f aca="false">IF(A71="","",IF(E71&gt;0,"Pokryte","BRAK"))</f>
        <v/>
      </c>
    </row>
    <row r="72" customFormat="false" ht="15" hidden="false" customHeight="false" outlineLevel="0" collapsed="false">
      <c r="E72" s="0" t="str">
        <f aca="false">IF(A72="","",COUNTIF('Przypadki testowe'!$C$2:$C$300,"*"&amp;A72&amp;"*"))</f>
        <v/>
      </c>
      <c r="F72" s="0" t="str">
        <f aca="false">IF(A72="","",COUNTIFS('Przypadki testowe'!$C$2:$C$300,"*"&amp;A72&amp;"*",'Przypadki testowe'!$K$2:$K$300,"Zaliczony"))</f>
        <v/>
      </c>
      <c r="G72" s="0" t="str">
        <f aca="false">IF(A72="","",COUNTIFS('Przypadki testowe'!$C$2:$C$300,"*"&amp;A72&amp;"*",'Przypadki testowe'!$K$2:$K$300,"Niezaliczony"))</f>
        <v/>
      </c>
      <c r="H72" s="0" t="str">
        <f aca="false">IF(A72="","",IF(E72&gt;0,"Pokryte","BRAK"))</f>
        <v/>
      </c>
    </row>
    <row r="73" customFormat="false" ht="15" hidden="false" customHeight="false" outlineLevel="0" collapsed="false">
      <c r="E73" s="0" t="str">
        <f aca="false">IF(A73="","",COUNTIF('Przypadki testowe'!$C$2:$C$300,"*"&amp;A73&amp;"*"))</f>
        <v/>
      </c>
      <c r="F73" s="0" t="str">
        <f aca="false">IF(A73="","",COUNTIFS('Przypadki testowe'!$C$2:$C$300,"*"&amp;A73&amp;"*",'Przypadki testowe'!$K$2:$K$300,"Zaliczony"))</f>
        <v/>
      </c>
      <c r="G73" s="0" t="str">
        <f aca="false">IF(A73="","",COUNTIFS('Przypadki testowe'!$C$2:$C$300,"*"&amp;A73&amp;"*",'Przypadki testowe'!$K$2:$K$300,"Niezaliczony"))</f>
        <v/>
      </c>
      <c r="H73" s="0" t="str">
        <f aca="false">IF(A73="","",IF(E73&gt;0,"Pokryte","BRAK"))</f>
        <v/>
      </c>
    </row>
    <row r="74" customFormat="false" ht="15" hidden="false" customHeight="false" outlineLevel="0" collapsed="false">
      <c r="E74" s="0" t="str">
        <f aca="false">IF(A74="","",COUNTIF('Przypadki testowe'!$C$2:$C$300,"*"&amp;A74&amp;"*"))</f>
        <v/>
      </c>
      <c r="F74" s="0" t="str">
        <f aca="false">IF(A74="","",COUNTIFS('Przypadki testowe'!$C$2:$C$300,"*"&amp;A74&amp;"*",'Przypadki testowe'!$K$2:$K$300,"Zaliczony"))</f>
        <v/>
      </c>
      <c r="G74" s="0" t="str">
        <f aca="false">IF(A74="","",COUNTIFS('Przypadki testowe'!$C$2:$C$300,"*"&amp;A74&amp;"*",'Przypadki testowe'!$K$2:$K$300,"Niezaliczony"))</f>
        <v/>
      </c>
      <c r="H74" s="0" t="str">
        <f aca="false">IF(A74="","",IF(E74&gt;0,"Pokryte","BRAK"))</f>
        <v/>
      </c>
    </row>
    <row r="75" customFormat="false" ht="15" hidden="false" customHeight="false" outlineLevel="0" collapsed="false">
      <c r="E75" s="0" t="str">
        <f aca="false">IF(A75="","",COUNTIF('Przypadki testowe'!$C$2:$C$300,"*"&amp;A75&amp;"*"))</f>
        <v/>
      </c>
      <c r="F75" s="0" t="str">
        <f aca="false">IF(A75="","",COUNTIFS('Przypadki testowe'!$C$2:$C$300,"*"&amp;A75&amp;"*",'Przypadki testowe'!$K$2:$K$300,"Zaliczony"))</f>
        <v/>
      </c>
      <c r="G75" s="0" t="str">
        <f aca="false">IF(A75="","",COUNTIFS('Przypadki testowe'!$C$2:$C$300,"*"&amp;A75&amp;"*",'Przypadki testowe'!$K$2:$K$300,"Niezaliczony"))</f>
        <v/>
      </c>
      <c r="H75" s="0" t="str">
        <f aca="false">IF(A75="","",IF(E75&gt;0,"Pokryte","BRAK"))</f>
        <v/>
      </c>
    </row>
    <row r="76" customFormat="false" ht="15" hidden="false" customHeight="false" outlineLevel="0" collapsed="false">
      <c r="E76" s="0" t="str">
        <f aca="false">IF(A76="","",COUNTIF('Przypadki testowe'!$C$2:$C$300,"*"&amp;A76&amp;"*"))</f>
        <v/>
      </c>
      <c r="F76" s="0" t="str">
        <f aca="false">IF(A76="","",COUNTIFS('Przypadki testowe'!$C$2:$C$300,"*"&amp;A76&amp;"*",'Przypadki testowe'!$K$2:$K$300,"Zaliczony"))</f>
        <v/>
      </c>
      <c r="G76" s="0" t="str">
        <f aca="false">IF(A76="","",COUNTIFS('Przypadki testowe'!$C$2:$C$300,"*"&amp;A76&amp;"*",'Przypadki testowe'!$K$2:$K$300,"Niezaliczony"))</f>
        <v/>
      </c>
      <c r="H76" s="0" t="str">
        <f aca="false">IF(A76="","",IF(E76&gt;0,"Pokryte","BRAK"))</f>
        <v/>
      </c>
    </row>
    <row r="77" customFormat="false" ht="15" hidden="false" customHeight="false" outlineLevel="0" collapsed="false">
      <c r="E77" s="0" t="str">
        <f aca="false">IF(A77="","",COUNTIF('Przypadki testowe'!$C$2:$C$300,"*"&amp;A77&amp;"*"))</f>
        <v/>
      </c>
      <c r="F77" s="0" t="str">
        <f aca="false">IF(A77="","",COUNTIFS('Przypadki testowe'!$C$2:$C$300,"*"&amp;A77&amp;"*",'Przypadki testowe'!$K$2:$K$300,"Zaliczony"))</f>
        <v/>
      </c>
      <c r="G77" s="0" t="str">
        <f aca="false">IF(A77="","",COUNTIFS('Przypadki testowe'!$C$2:$C$300,"*"&amp;A77&amp;"*",'Przypadki testowe'!$K$2:$K$300,"Niezaliczony"))</f>
        <v/>
      </c>
      <c r="H77" s="0" t="str">
        <f aca="false">IF(A77="","",IF(E77&gt;0,"Pokryte","BRAK"))</f>
        <v/>
      </c>
    </row>
    <row r="78" customFormat="false" ht="15" hidden="false" customHeight="false" outlineLevel="0" collapsed="false">
      <c r="E78" s="0" t="str">
        <f aca="false">IF(A78="","",COUNTIF('Przypadki testowe'!$C$2:$C$300,"*"&amp;A78&amp;"*"))</f>
        <v/>
      </c>
      <c r="F78" s="0" t="str">
        <f aca="false">IF(A78="","",COUNTIFS('Przypadki testowe'!$C$2:$C$300,"*"&amp;A78&amp;"*",'Przypadki testowe'!$K$2:$K$300,"Zaliczony"))</f>
        <v/>
      </c>
      <c r="G78" s="0" t="str">
        <f aca="false">IF(A78="","",COUNTIFS('Przypadki testowe'!$C$2:$C$300,"*"&amp;A78&amp;"*",'Przypadki testowe'!$K$2:$K$300,"Niezaliczony"))</f>
        <v/>
      </c>
      <c r="H78" s="0" t="str">
        <f aca="false">IF(A78="","",IF(E78&gt;0,"Pokryte","BRAK"))</f>
        <v/>
      </c>
    </row>
    <row r="79" customFormat="false" ht="15" hidden="false" customHeight="false" outlineLevel="0" collapsed="false">
      <c r="E79" s="0" t="str">
        <f aca="false">IF(A79="","",COUNTIF('Przypadki testowe'!$C$2:$C$300,"*"&amp;A79&amp;"*"))</f>
        <v/>
      </c>
      <c r="F79" s="0" t="str">
        <f aca="false">IF(A79="","",COUNTIFS('Przypadki testowe'!$C$2:$C$300,"*"&amp;A79&amp;"*",'Przypadki testowe'!$K$2:$K$300,"Zaliczony"))</f>
        <v/>
      </c>
      <c r="G79" s="0" t="str">
        <f aca="false">IF(A79="","",COUNTIFS('Przypadki testowe'!$C$2:$C$300,"*"&amp;A79&amp;"*",'Przypadki testowe'!$K$2:$K$300,"Niezaliczony"))</f>
        <v/>
      </c>
      <c r="H79" s="0" t="str">
        <f aca="false">IF(A79="","",IF(E79&gt;0,"Pokryte","BRAK"))</f>
        <v/>
      </c>
    </row>
    <row r="80" customFormat="false" ht="15" hidden="false" customHeight="false" outlineLevel="0" collapsed="false">
      <c r="E80" s="0" t="str">
        <f aca="false">IF(A80="","",COUNTIF('Przypadki testowe'!$C$2:$C$300,"*"&amp;A80&amp;"*"))</f>
        <v/>
      </c>
      <c r="F80" s="0" t="str">
        <f aca="false">IF(A80="","",COUNTIFS('Przypadki testowe'!$C$2:$C$300,"*"&amp;A80&amp;"*",'Przypadki testowe'!$K$2:$K$300,"Zaliczony"))</f>
        <v/>
      </c>
      <c r="G80" s="0" t="str">
        <f aca="false">IF(A80="","",COUNTIFS('Przypadki testowe'!$C$2:$C$300,"*"&amp;A80&amp;"*",'Przypadki testowe'!$K$2:$K$300,"Niezaliczony"))</f>
        <v/>
      </c>
      <c r="H80" s="0" t="str">
        <f aca="false">IF(A80="","",IF(E80&gt;0,"Pokryte","BRAK"))</f>
        <v/>
      </c>
    </row>
    <row r="81" customFormat="false" ht="15" hidden="false" customHeight="false" outlineLevel="0" collapsed="false">
      <c r="E81" s="0" t="str">
        <f aca="false">IF(A81="","",COUNTIF('Przypadki testowe'!$C$2:$C$300,"*"&amp;A81&amp;"*"))</f>
        <v/>
      </c>
      <c r="F81" s="0" t="str">
        <f aca="false">IF(A81="","",COUNTIFS('Przypadki testowe'!$C$2:$C$300,"*"&amp;A81&amp;"*",'Przypadki testowe'!$K$2:$K$300,"Zaliczony"))</f>
        <v/>
      </c>
      <c r="G81" s="0" t="str">
        <f aca="false">IF(A81="","",COUNTIFS('Przypadki testowe'!$C$2:$C$300,"*"&amp;A81&amp;"*",'Przypadki testowe'!$K$2:$K$300,"Niezaliczony"))</f>
        <v/>
      </c>
      <c r="H81" s="0" t="str">
        <f aca="false">IF(A81="","",IF(E81&gt;0,"Pokryte","BRAK"))</f>
        <v/>
      </c>
    </row>
    <row r="82" customFormat="false" ht="15" hidden="false" customHeight="false" outlineLevel="0" collapsed="false">
      <c r="E82" s="0" t="str">
        <f aca="false">IF(A82="","",COUNTIF('Przypadki testowe'!$C$2:$C$300,"*"&amp;A82&amp;"*"))</f>
        <v/>
      </c>
      <c r="F82" s="0" t="str">
        <f aca="false">IF(A82="","",COUNTIFS('Przypadki testowe'!$C$2:$C$300,"*"&amp;A82&amp;"*",'Przypadki testowe'!$K$2:$K$300,"Zaliczony"))</f>
        <v/>
      </c>
      <c r="G82" s="0" t="str">
        <f aca="false">IF(A82="","",COUNTIFS('Przypadki testowe'!$C$2:$C$300,"*"&amp;A82&amp;"*",'Przypadki testowe'!$K$2:$K$300,"Niezaliczony"))</f>
        <v/>
      </c>
      <c r="H82" s="0" t="str">
        <f aca="false">IF(A82="","",IF(E82&gt;0,"Pokryte","BRAK"))</f>
        <v/>
      </c>
    </row>
    <row r="83" customFormat="false" ht="15" hidden="false" customHeight="false" outlineLevel="0" collapsed="false">
      <c r="E83" s="0" t="str">
        <f aca="false">IF(A83="","",COUNTIF('Przypadki testowe'!$C$2:$C$300,"*"&amp;A83&amp;"*"))</f>
        <v/>
      </c>
      <c r="F83" s="0" t="str">
        <f aca="false">IF(A83="","",COUNTIFS('Przypadki testowe'!$C$2:$C$300,"*"&amp;A83&amp;"*",'Przypadki testowe'!$K$2:$K$300,"Zaliczony"))</f>
        <v/>
      </c>
      <c r="G83" s="0" t="str">
        <f aca="false">IF(A83="","",COUNTIFS('Przypadki testowe'!$C$2:$C$300,"*"&amp;A83&amp;"*",'Przypadki testowe'!$K$2:$K$300,"Niezaliczony"))</f>
        <v/>
      </c>
      <c r="H83" s="0" t="str">
        <f aca="false">IF(A83="","",IF(E83&gt;0,"Pokryte","BRAK"))</f>
        <v/>
      </c>
    </row>
    <row r="84" customFormat="false" ht="15" hidden="false" customHeight="false" outlineLevel="0" collapsed="false">
      <c r="E84" s="0" t="str">
        <f aca="false">IF(A84="","",COUNTIF('Przypadki testowe'!$C$2:$C$300,"*"&amp;A84&amp;"*"))</f>
        <v/>
      </c>
      <c r="F84" s="0" t="str">
        <f aca="false">IF(A84="","",COUNTIFS('Przypadki testowe'!$C$2:$C$300,"*"&amp;A84&amp;"*",'Przypadki testowe'!$K$2:$K$300,"Zaliczony"))</f>
        <v/>
      </c>
      <c r="G84" s="0" t="str">
        <f aca="false">IF(A84="","",COUNTIFS('Przypadki testowe'!$C$2:$C$300,"*"&amp;A84&amp;"*",'Przypadki testowe'!$K$2:$K$300,"Niezaliczony"))</f>
        <v/>
      </c>
      <c r="H84" s="0" t="str">
        <f aca="false">IF(A84="","",IF(E84&gt;0,"Pokryte","BRAK"))</f>
        <v/>
      </c>
    </row>
    <row r="85" customFormat="false" ht="15" hidden="false" customHeight="false" outlineLevel="0" collapsed="false">
      <c r="E85" s="0" t="str">
        <f aca="false">IF(A85="","",COUNTIF('Przypadki testowe'!$C$2:$C$300,"*"&amp;A85&amp;"*"))</f>
        <v/>
      </c>
      <c r="F85" s="0" t="str">
        <f aca="false">IF(A85="","",COUNTIFS('Przypadki testowe'!$C$2:$C$300,"*"&amp;A85&amp;"*",'Przypadki testowe'!$K$2:$K$300,"Zaliczony"))</f>
        <v/>
      </c>
      <c r="G85" s="0" t="str">
        <f aca="false">IF(A85="","",COUNTIFS('Przypadki testowe'!$C$2:$C$300,"*"&amp;A85&amp;"*",'Przypadki testowe'!$K$2:$K$300,"Niezaliczony"))</f>
        <v/>
      </c>
      <c r="H85" s="0" t="str">
        <f aca="false">IF(A85="","",IF(E85&gt;0,"Pokryte","BRAK"))</f>
        <v/>
      </c>
    </row>
    <row r="86" customFormat="false" ht="15" hidden="false" customHeight="false" outlineLevel="0" collapsed="false">
      <c r="E86" s="0" t="str">
        <f aca="false">IF(A86="","",COUNTIF('Przypadki testowe'!$C$2:$C$300,"*"&amp;A86&amp;"*"))</f>
        <v/>
      </c>
      <c r="F86" s="0" t="str">
        <f aca="false">IF(A86="","",COUNTIFS('Przypadki testowe'!$C$2:$C$300,"*"&amp;A86&amp;"*",'Przypadki testowe'!$K$2:$K$300,"Zaliczony"))</f>
        <v/>
      </c>
      <c r="G86" s="0" t="str">
        <f aca="false">IF(A86="","",COUNTIFS('Przypadki testowe'!$C$2:$C$300,"*"&amp;A86&amp;"*",'Przypadki testowe'!$K$2:$K$300,"Niezaliczony"))</f>
        <v/>
      </c>
      <c r="H86" s="0" t="str">
        <f aca="false">IF(A86="","",IF(E86&gt;0,"Pokryte","BRAK"))</f>
        <v/>
      </c>
    </row>
    <row r="87" customFormat="false" ht="15" hidden="false" customHeight="false" outlineLevel="0" collapsed="false">
      <c r="E87" s="0" t="str">
        <f aca="false">IF(A87="","",COUNTIF('Przypadki testowe'!$C$2:$C$300,"*"&amp;A87&amp;"*"))</f>
        <v/>
      </c>
      <c r="F87" s="0" t="str">
        <f aca="false">IF(A87="","",COUNTIFS('Przypadki testowe'!$C$2:$C$300,"*"&amp;A87&amp;"*",'Przypadki testowe'!$K$2:$K$300,"Zaliczony"))</f>
        <v/>
      </c>
      <c r="G87" s="0" t="str">
        <f aca="false">IF(A87="","",COUNTIFS('Przypadki testowe'!$C$2:$C$300,"*"&amp;A87&amp;"*",'Przypadki testowe'!$K$2:$K$300,"Niezaliczony"))</f>
        <v/>
      </c>
      <c r="H87" s="0" t="str">
        <f aca="false">IF(A87="","",IF(E87&gt;0,"Pokryte","BRAK"))</f>
        <v/>
      </c>
    </row>
    <row r="88" customFormat="false" ht="15" hidden="false" customHeight="false" outlineLevel="0" collapsed="false">
      <c r="E88" s="0" t="str">
        <f aca="false">IF(A88="","",COUNTIF('Przypadki testowe'!$C$2:$C$300,"*"&amp;A88&amp;"*"))</f>
        <v/>
      </c>
      <c r="F88" s="0" t="str">
        <f aca="false">IF(A88="","",COUNTIFS('Przypadki testowe'!$C$2:$C$300,"*"&amp;A88&amp;"*",'Przypadki testowe'!$K$2:$K$300,"Zaliczony"))</f>
        <v/>
      </c>
      <c r="G88" s="0" t="str">
        <f aca="false">IF(A88="","",COUNTIFS('Przypadki testowe'!$C$2:$C$300,"*"&amp;A88&amp;"*",'Przypadki testowe'!$K$2:$K$300,"Niezaliczony"))</f>
        <v/>
      </c>
      <c r="H88" s="0" t="str">
        <f aca="false">IF(A88="","",IF(E88&gt;0,"Pokryte","BRAK"))</f>
        <v/>
      </c>
    </row>
    <row r="89" customFormat="false" ht="15" hidden="false" customHeight="false" outlineLevel="0" collapsed="false">
      <c r="E89" s="0" t="str">
        <f aca="false">IF(A89="","",COUNTIF('Przypadki testowe'!$C$2:$C$300,"*"&amp;A89&amp;"*"))</f>
        <v/>
      </c>
      <c r="F89" s="0" t="str">
        <f aca="false">IF(A89="","",COUNTIFS('Przypadki testowe'!$C$2:$C$300,"*"&amp;A89&amp;"*",'Przypadki testowe'!$K$2:$K$300,"Zaliczony"))</f>
        <v/>
      </c>
      <c r="G89" s="0" t="str">
        <f aca="false">IF(A89="","",COUNTIFS('Przypadki testowe'!$C$2:$C$300,"*"&amp;A89&amp;"*",'Przypadki testowe'!$K$2:$K$300,"Niezaliczony"))</f>
        <v/>
      </c>
      <c r="H89" s="0" t="str">
        <f aca="false">IF(A89="","",IF(E89&gt;0,"Pokryte","BRAK"))</f>
        <v/>
      </c>
    </row>
    <row r="90" customFormat="false" ht="15" hidden="false" customHeight="false" outlineLevel="0" collapsed="false">
      <c r="E90" s="0" t="str">
        <f aca="false">IF(A90="","",COUNTIF('Przypadki testowe'!$C$2:$C$300,"*"&amp;A90&amp;"*"))</f>
        <v/>
      </c>
      <c r="F90" s="0" t="str">
        <f aca="false">IF(A90="","",COUNTIFS('Przypadki testowe'!$C$2:$C$300,"*"&amp;A90&amp;"*",'Przypadki testowe'!$K$2:$K$300,"Zaliczony"))</f>
        <v/>
      </c>
      <c r="G90" s="0" t="str">
        <f aca="false">IF(A90="","",COUNTIFS('Przypadki testowe'!$C$2:$C$300,"*"&amp;A90&amp;"*",'Przypadki testowe'!$K$2:$K$300,"Niezaliczony"))</f>
        <v/>
      </c>
      <c r="H90" s="0" t="str">
        <f aca="false">IF(A90="","",IF(E90&gt;0,"Pokryte","BRAK"))</f>
        <v/>
      </c>
    </row>
    <row r="91" customFormat="false" ht="15" hidden="false" customHeight="false" outlineLevel="0" collapsed="false">
      <c r="E91" s="0" t="str">
        <f aca="false">IF(A91="","",COUNTIF('Przypadki testowe'!$C$2:$C$300,"*"&amp;A91&amp;"*"))</f>
        <v/>
      </c>
      <c r="F91" s="0" t="str">
        <f aca="false">IF(A91="","",COUNTIFS('Przypadki testowe'!$C$2:$C$300,"*"&amp;A91&amp;"*",'Przypadki testowe'!$K$2:$K$300,"Zaliczony"))</f>
        <v/>
      </c>
      <c r="G91" s="0" t="str">
        <f aca="false">IF(A91="","",COUNTIFS('Przypadki testowe'!$C$2:$C$300,"*"&amp;A91&amp;"*",'Przypadki testowe'!$K$2:$K$300,"Niezaliczony"))</f>
        <v/>
      </c>
      <c r="H91" s="0" t="str">
        <f aca="false">IF(A91="","",IF(E91&gt;0,"Pokryte","BRAK"))</f>
        <v/>
      </c>
    </row>
    <row r="92" customFormat="false" ht="15" hidden="false" customHeight="false" outlineLevel="0" collapsed="false">
      <c r="E92" s="0" t="str">
        <f aca="false">IF(A92="","",COUNTIF('Przypadki testowe'!$C$2:$C$300,"*"&amp;A92&amp;"*"))</f>
        <v/>
      </c>
      <c r="F92" s="0" t="str">
        <f aca="false">IF(A92="","",COUNTIFS('Przypadki testowe'!$C$2:$C$300,"*"&amp;A92&amp;"*",'Przypadki testowe'!$K$2:$K$300,"Zaliczony"))</f>
        <v/>
      </c>
      <c r="G92" s="0" t="str">
        <f aca="false">IF(A92="","",COUNTIFS('Przypadki testowe'!$C$2:$C$300,"*"&amp;A92&amp;"*",'Przypadki testowe'!$K$2:$K$300,"Niezaliczony"))</f>
        <v/>
      </c>
      <c r="H92" s="0" t="str">
        <f aca="false">IF(A92="","",IF(E92&gt;0,"Pokryte","BRAK"))</f>
        <v/>
      </c>
    </row>
    <row r="93" customFormat="false" ht="15" hidden="false" customHeight="false" outlineLevel="0" collapsed="false">
      <c r="E93" s="0" t="str">
        <f aca="false">IF(A93="","",COUNTIF('Przypadki testowe'!$C$2:$C$300,"*"&amp;A93&amp;"*"))</f>
        <v/>
      </c>
      <c r="F93" s="0" t="str">
        <f aca="false">IF(A93="","",COUNTIFS('Przypadki testowe'!$C$2:$C$300,"*"&amp;A93&amp;"*",'Przypadki testowe'!$K$2:$K$300,"Zaliczony"))</f>
        <v/>
      </c>
      <c r="G93" s="0" t="str">
        <f aca="false">IF(A93="","",COUNTIFS('Przypadki testowe'!$C$2:$C$300,"*"&amp;A93&amp;"*",'Przypadki testowe'!$K$2:$K$300,"Niezaliczony"))</f>
        <v/>
      </c>
      <c r="H93" s="0" t="str">
        <f aca="false">IF(A93="","",IF(E93&gt;0,"Pokryte","BRAK"))</f>
        <v/>
      </c>
    </row>
    <row r="94" customFormat="false" ht="15" hidden="false" customHeight="false" outlineLevel="0" collapsed="false">
      <c r="E94" s="0" t="str">
        <f aca="false">IF(A94="","",COUNTIF('Przypadki testowe'!$C$2:$C$300,"*"&amp;A94&amp;"*"))</f>
        <v/>
      </c>
      <c r="F94" s="0" t="str">
        <f aca="false">IF(A94="","",COUNTIFS('Przypadki testowe'!$C$2:$C$300,"*"&amp;A94&amp;"*",'Przypadki testowe'!$K$2:$K$300,"Zaliczony"))</f>
        <v/>
      </c>
      <c r="G94" s="0" t="str">
        <f aca="false">IF(A94="","",COUNTIFS('Przypadki testowe'!$C$2:$C$300,"*"&amp;A94&amp;"*",'Przypadki testowe'!$K$2:$K$300,"Niezaliczony"))</f>
        <v/>
      </c>
      <c r="H94" s="0" t="str">
        <f aca="false">IF(A94="","",IF(E94&gt;0,"Pokryte","BRAK"))</f>
        <v/>
      </c>
    </row>
    <row r="95" customFormat="false" ht="15" hidden="false" customHeight="false" outlineLevel="0" collapsed="false">
      <c r="E95" s="0" t="str">
        <f aca="false">IF(A95="","",COUNTIF('Przypadki testowe'!$C$2:$C$300,"*"&amp;A95&amp;"*"))</f>
        <v/>
      </c>
      <c r="F95" s="0" t="str">
        <f aca="false">IF(A95="","",COUNTIFS('Przypadki testowe'!$C$2:$C$300,"*"&amp;A95&amp;"*",'Przypadki testowe'!$K$2:$K$300,"Zaliczony"))</f>
        <v/>
      </c>
      <c r="G95" s="0" t="str">
        <f aca="false">IF(A95="","",COUNTIFS('Przypadki testowe'!$C$2:$C$300,"*"&amp;A95&amp;"*",'Przypadki testowe'!$K$2:$K$300,"Niezaliczony"))</f>
        <v/>
      </c>
      <c r="H95" s="0" t="str">
        <f aca="false">IF(A95="","",IF(E95&gt;0,"Pokryte","BRAK"))</f>
        <v/>
      </c>
    </row>
    <row r="96" customFormat="false" ht="15" hidden="false" customHeight="false" outlineLevel="0" collapsed="false">
      <c r="E96" s="0" t="str">
        <f aca="false">IF(A96="","",COUNTIF('Przypadki testowe'!$C$2:$C$300,"*"&amp;A96&amp;"*"))</f>
        <v/>
      </c>
      <c r="F96" s="0" t="str">
        <f aca="false">IF(A96="","",COUNTIFS('Przypadki testowe'!$C$2:$C$300,"*"&amp;A96&amp;"*",'Przypadki testowe'!$K$2:$K$300,"Zaliczony"))</f>
        <v/>
      </c>
      <c r="G96" s="0" t="str">
        <f aca="false">IF(A96="","",COUNTIFS('Przypadki testowe'!$C$2:$C$300,"*"&amp;A96&amp;"*",'Przypadki testowe'!$K$2:$K$300,"Niezaliczony"))</f>
        <v/>
      </c>
      <c r="H96" s="0" t="str">
        <f aca="false">IF(A96="","",IF(E96&gt;0,"Pokryte","BRAK"))</f>
        <v/>
      </c>
    </row>
    <row r="97" customFormat="false" ht="15" hidden="false" customHeight="false" outlineLevel="0" collapsed="false">
      <c r="E97" s="0" t="str">
        <f aca="false">IF(A97="","",COUNTIF('Przypadki testowe'!$C$2:$C$300,"*"&amp;A97&amp;"*"))</f>
        <v/>
      </c>
      <c r="F97" s="0" t="str">
        <f aca="false">IF(A97="","",COUNTIFS('Przypadki testowe'!$C$2:$C$300,"*"&amp;A97&amp;"*",'Przypadki testowe'!$K$2:$K$300,"Zaliczony"))</f>
        <v/>
      </c>
      <c r="G97" s="0" t="str">
        <f aca="false">IF(A97="","",COUNTIFS('Przypadki testowe'!$C$2:$C$300,"*"&amp;A97&amp;"*",'Przypadki testowe'!$K$2:$K$300,"Niezaliczony"))</f>
        <v/>
      </c>
      <c r="H97" s="0" t="str">
        <f aca="false">IF(A97="","",IF(E97&gt;0,"Pokryte","BRAK"))</f>
        <v/>
      </c>
    </row>
    <row r="98" customFormat="false" ht="15" hidden="false" customHeight="false" outlineLevel="0" collapsed="false">
      <c r="E98" s="0" t="str">
        <f aca="false">IF(A98="","",COUNTIF('Przypadki testowe'!$C$2:$C$300,"*"&amp;A98&amp;"*"))</f>
        <v/>
      </c>
      <c r="F98" s="0" t="str">
        <f aca="false">IF(A98="","",COUNTIFS('Przypadki testowe'!$C$2:$C$300,"*"&amp;A98&amp;"*",'Przypadki testowe'!$K$2:$K$300,"Zaliczony"))</f>
        <v/>
      </c>
      <c r="G98" s="0" t="str">
        <f aca="false">IF(A98="","",COUNTIFS('Przypadki testowe'!$C$2:$C$300,"*"&amp;A98&amp;"*",'Przypadki testowe'!$K$2:$K$300,"Niezaliczony"))</f>
        <v/>
      </c>
      <c r="H98" s="0" t="str">
        <f aca="false">IF(A98="","",IF(E98&gt;0,"Pokryte","BRAK"))</f>
        <v/>
      </c>
    </row>
    <row r="99" customFormat="false" ht="15" hidden="false" customHeight="false" outlineLevel="0" collapsed="false">
      <c r="E99" s="0" t="str">
        <f aca="false">IF(A99="","",COUNTIF('Przypadki testowe'!$C$2:$C$300,"*"&amp;A99&amp;"*"))</f>
        <v/>
      </c>
      <c r="F99" s="0" t="str">
        <f aca="false">IF(A99="","",COUNTIFS('Przypadki testowe'!$C$2:$C$300,"*"&amp;A99&amp;"*",'Przypadki testowe'!$K$2:$K$300,"Zaliczony"))</f>
        <v/>
      </c>
      <c r="G99" s="0" t="str">
        <f aca="false">IF(A99="","",COUNTIFS('Przypadki testowe'!$C$2:$C$300,"*"&amp;A99&amp;"*",'Przypadki testowe'!$K$2:$K$300,"Niezaliczony"))</f>
        <v/>
      </c>
      <c r="H99" s="0" t="str">
        <f aca="false">IF(A99="","",IF(E99&gt;0,"Pokryte","BRAK"))</f>
        <v/>
      </c>
    </row>
    <row r="100" customFormat="false" ht="15" hidden="false" customHeight="false" outlineLevel="0" collapsed="false">
      <c r="E100" s="0" t="str">
        <f aca="false">IF(A100="","",COUNTIF('Przypadki testowe'!$C$2:$C$300,"*"&amp;A100&amp;"*"))</f>
        <v/>
      </c>
      <c r="F100" s="0" t="str">
        <f aca="false">IF(A100="","",COUNTIFS('Przypadki testowe'!$C$2:$C$300,"*"&amp;A100&amp;"*",'Przypadki testowe'!$K$2:$K$300,"Zaliczony"))</f>
        <v/>
      </c>
      <c r="G100" s="0" t="str">
        <f aca="false">IF(A100="","",COUNTIFS('Przypadki testowe'!$C$2:$C$300,"*"&amp;A100&amp;"*",'Przypadki testowe'!$K$2:$K$300,"Niezaliczony"))</f>
        <v/>
      </c>
      <c r="H100" s="0" t="str">
        <f aca="false">IF(A100="","",IF(E100&gt;0,"Pokryte","BRAK"))</f>
        <v/>
      </c>
    </row>
    <row r="101" customFormat="false" ht="15" hidden="false" customHeight="false" outlineLevel="0" collapsed="false">
      <c r="E101" s="0" t="str">
        <f aca="false">IF(A101="","",COUNTIF('Przypadki testowe'!$C$2:$C$300,"*"&amp;A101&amp;"*"))</f>
        <v/>
      </c>
      <c r="F101" s="0" t="str">
        <f aca="false">IF(A101="","",COUNTIFS('Przypadki testowe'!$C$2:$C$300,"*"&amp;A101&amp;"*",'Przypadki testowe'!$K$2:$K$300,"Zaliczony"))</f>
        <v/>
      </c>
      <c r="G101" s="0" t="str">
        <f aca="false">IF(A101="","",COUNTIFS('Przypadki testowe'!$C$2:$C$300,"*"&amp;A101&amp;"*",'Przypadki testowe'!$K$2:$K$300,"Niezaliczony"))</f>
        <v/>
      </c>
      <c r="H101" s="0" t="str">
        <f aca="false">IF(A101="","",IF(E101&gt;0,"Pokryte","BRAK"))</f>
        <v/>
      </c>
    </row>
    <row r="102" customFormat="false" ht="15" hidden="false" customHeight="false" outlineLevel="0" collapsed="false">
      <c r="E102" s="0" t="str">
        <f aca="false">IF(A102="","",COUNTIF('Przypadki testowe'!$C$2:$C$300,"*"&amp;A102&amp;"*"))</f>
        <v/>
      </c>
      <c r="F102" s="0" t="str">
        <f aca="false">IF(A102="","",COUNTIFS('Przypadki testowe'!$C$2:$C$300,"*"&amp;A102&amp;"*",'Przypadki testowe'!$K$2:$K$300,"Zaliczony"))</f>
        <v/>
      </c>
      <c r="G102" s="0" t="str">
        <f aca="false">IF(A102="","",COUNTIFS('Przypadki testowe'!$C$2:$C$300,"*"&amp;A102&amp;"*",'Przypadki testowe'!$K$2:$K$300,"Niezaliczony"))</f>
        <v/>
      </c>
      <c r="H102" s="0" t="str">
        <f aca="false">IF(A102="","",IF(E102&gt;0,"Pokryte","BRAK"))</f>
        <v/>
      </c>
    </row>
    <row r="103" customFormat="false" ht="15" hidden="false" customHeight="false" outlineLevel="0" collapsed="false">
      <c r="E103" s="0" t="str">
        <f aca="false">IF(A103="","",COUNTIF('Przypadki testowe'!$C$2:$C$300,"*"&amp;A103&amp;"*"))</f>
        <v/>
      </c>
      <c r="F103" s="0" t="str">
        <f aca="false">IF(A103="","",COUNTIFS('Przypadki testowe'!$C$2:$C$300,"*"&amp;A103&amp;"*",'Przypadki testowe'!$K$2:$K$300,"Zaliczony"))</f>
        <v/>
      </c>
      <c r="G103" s="0" t="str">
        <f aca="false">IF(A103="","",COUNTIFS('Przypadki testowe'!$C$2:$C$300,"*"&amp;A103&amp;"*",'Przypadki testowe'!$K$2:$K$300,"Niezaliczony"))</f>
        <v/>
      </c>
      <c r="H103" s="0" t="str">
        <f aca="false">IF(A103="","",IF(E103&gt;0,"Pokryte","BRAK"))</f>
        <v/>
      </c>
    </row>
    <row r="104" customFormat="false" ht="15" hidden="false" customHeight="false" outlineLevel="0" collapsed="false">
      <c r="E104" s="0" t="str">
        <f aca="false">IF(A104="","",COUNTIF('Przypadki testowe'!$C$2:$C$300,"*"&amp;A104&amp;"*"))</f>
        <v/>
      </c>
      <c r="F104" s="0" t="str">
        <f aca="false">IF(A104="","",COUNTIFS('Przypadki testowe'!$C$2:$C$300,"*"&amp;A104&amp;"*",'Przypadki testowe'!$K$2:$K$300,"Zaliczony"))</f>
        <v/>
      </c>
      <c r="G104" s="0" t="str">
        <f aca="false">IF(A104="","",COUNTIFS('Przypadki testowe'!$C$2:$C$300,"*"&amp;A104&amp;"*",'Przypadki testowe'!$K$2:$K$300,"Niezaliczony"))</f>
        <v/>
      </c>
      <c r="H104" s="0" t="str">
        <f aca="false">IF(A104="","",IF(E104&gt;0,"Pokryte","BRAK"))</f>
        <v/>
      </c>
    </row>
    <row r="105" customFormat="false" ht="15" hidden="false" customHeight="false" outlineLevel="0" collapsed="false">
      <c r="E105" s="0" t="str">
        <f aca="false">IF(A105="","",COUNTIF('Przypadki testowe'!$C$2:$C$300,"*"&amp;A105&amp;"*"))</f>
        <v/>
      </c>
      <c r="F105" s="0" t="str">
        <f aca="false">IF(A105="","",COUNTIFS('Przypadki testowe'!$C$2:$C$300,"*"&amp;A105&amp;"*",'Przypadki testowe'!$K$2:$K$300,"Zaliczony"))</f>
        <v/>
      </c>
      <c r="G105" s="0" t="str">
        <f aca="false">IF(A105="","",COUNTIFS('Przypadki testowe'!$C$2:$C$300,"*"&amp;A105&amp;"*",'Przypadki testowe'!$K$2:$K$300,"Niezaliczony"))</f>
        <v/>
      </c>
      <c r="H105" s="0" t="str">
        <f aca="false">IF(A105="","",IF(E105&gt;0,"Pokryte","BRAK"))</f>
        <v/>
      </c>
    </row>
    <row r="106" customFormat="false" ht="15" hidden="false" customHeight="false" outlineLevel="0" collapsed="false">
      <c r="E106" s="0" t="str">
        <f aca="false">IF(A106="","",COUNTIF('Przypadki testowe'!$C$2:$C$300,"*"&amp;A106&amp;"*"))</f>
        <v/>
      </c>
      <c r="F106" s="0" t="str">
        <f aca="false">IF(A106="","",COUNTIFS('Przypadki testowe'!$C$2:$C$300,"*"&amp;A106&amp;"*",'Przypadki testowe'!$K$2:$K$300,"Zaliczony"))</f>
        <v/>
      </c>
      <c r="G106" s="0" t="str">
        <f aca="false">IF(A106="","",COUNTIFS('Przypadki testowe'!$C$2:$C$300,"*"&amp;A106&amp;"*",'Przypadki testowe'!$K$2:$K$300,"Niezaliczony"))</f>
        <v/>
      </c>
      <c r="H106" s="0" t="str">
        <f aca="false">IF(A106="","",IF(E106&gt;0,"Pokryte","BRAK"))</f>
        <v/>
      </c>
    </row>
    <row r="107" customFormat="false" ht="15" hidden="false" customHeight="false" outlineLevel="0" collapsed="false">
      <c r="E107" s="0" t="str">
        <f aca="false">IF(A107="","",COUNTIF('Przypadki testowe'!$C$2:$C$300,"*"&amp;A107&amp;"*"))</f>
        <v/>
      </c>
      <c r="F107" s="0" t="str">
        <f aca="false">IF(A107="","",COUNTIFS('Przypadki testowe'!$C$2:$C$300,"*"&amp;A107&amp;"*",'Przypadki testowe'!$K$2:$K$300,"Zaliczony"))</f>
        <v/>
      </c>
      <c r="G107" s="0" t="str">
        <f aca="false">IF(A107="","",COUNTIFS('Przypadki testowe'!$C$2:$C$300,"*"&amp;A107&amp;"*",'Przypadki testowe'!$K$2:$K$300,"Niezaliczony"))</f>
        <v/>
      </c>
      <c r="H107" s="0" t="str">
        <f aca="false">IF(A107="","",IF(E107&gt;0,"Pokryte","BRAK"))</f>
        <v/>
      </c>
    </row>
    <row r="108" customFormat="false" ht="15" hidden="false" customHeight="false" outlineLevel="0" collapsed="false">
      <c r="E108" s="0" t="str">
        <f aca="false">IF(A108="","",COUNTIF('Przypadki testowe'!$C$2:$C$300,"*"&amp;A108&amp;"*"))</f>
        <v/>
      </c>
      <c r="F108" s="0" t="str">
        <f aca="false">IF(A108="","",COUNTIFS('Przypadki testowe'!$C$2:$C$300,"*"&amp;A108&amp;"*",'Przypadki testowe'!$K$2:$K$300,"Zaliczony"))</f>
        <v/>
      </c>
      <c r="G108" s="0" t="str">
        <f aca="false">IF(A108="","",COUNTIFS('Przypadki testowe'!$C$2:$C$300,"*"&amp;A108&amp;"*",'Przypadki testowe'!$K$2:$K$300,"Niezaliczony"))</f>
        <v/>
      </c>
      <c r="H108" s="0" t="str">
        <f aca="false">IF(A108="","",IF(E108&gt;0,"Pokryte","BRAK"))</f>
        <v/>
      </c>
    </row>
    <row r="109" customFormat="false" ht="15" hidden="false" customHeight="false" outlineLevel="0" collapsed="false">
      <c r="E109" s="0" t="str">
        <f aca="false">IF(A109="","",COUNTIF('Przypadki testowe'!$C$2:$C$300,"*"&amp;A109&amp;"*"))</f>
        <v/>
      </c>
      <c r="F109" s="0" t="str">
        <f aca="false">IF(A109="","",COUNTIFS('Przypadki testowe'!$C$2:$C$300,"*"&amp;A109&amp;"*",'Przypadki testowe'!$K$2:$K$300,"Zaliczony"))</f>
        <v/>
      </c>
      <c r="G109" s="0" t="str">
        <f aca="false">IF(A109="","",COUNTIFS('Przypadki testowe'!$C$2:$C$300,"*"&amp;A109&amp;"*",'Przypadki testowe'!$K$2:$K$300,"Niezaliczony"))</f>
        <v/>
      </c>
      <c r="H109" s="0" t="str">
        <f aca="false">IF(A109="","",IF(E109&gt;0,"Pokryte","BRAK"))</f>
        <v/>
      </c>
    </row>
    <row r="110" customFormat="false" ht="15" hidden="false" customHeight="false" outlineLevel="0" collapsed="false">
      <c r="E110" s="0" t="str">
        <f aca="false">IF(A110="","",COUNTIF('Przypadki testowe'!$C$2:$C$300,"*"&amp;A110&amp;"*"))</f>
        <v/>
      </c>
      <c r="F110" s="0" t="str">
        <f aca="false">IF(A110="","",COUNTIFS('Przypadki testowe'!$C$2:$C$300,"*"&amp;A110&amp;"*",'Przypadki testowe'!$K$2:$K$300,"Zaliczony"))</f>
        <v/>
      </c>
      <c r="G110" s="0" t="str">
        <f aca="false">IF(A110="","",COUNTIFS('Przypadki testowe'!$C$2:$C$300,"*"&amp;A110&amp;"*",'Przypadki testowe'!$K$2:$K$300,"Niezaliczony"))</f>
        <v/>
      </c>
      <c r="H110" s="0" t="str">
        <f aca="false">IF(A110="","",IF(E110&gt;0,"Pokryte","BRAK"))</f>
        <v/>
      </c>
    </row>
    <row r="111" customFormat="false" ht="15" hidden="false" customHeight="false" outlineLevel="0" collapsed="false">
      <c r="E111" s="0" t="str">
        <f aca="false">IF(A111="","",COUNTIF('Przypadki testowe'!$C$2:$C$300,"*"&amp;A111&amp;"*"))</f>
        <v/>
      </c>
      <c r="F111" s="0" t="str">
        <f aca="false">IF(A111="","",COUNTIFS('Przypadki testowe'!$C$2:$C$300,"*"&amp;A111&amp;"*",'Przypadki testowe'!$K$2:$K$300,"Zaliczony"))</f>
        <v/>
      </c>
      <c r="G111" s="0" t="str">
        <f aca="false">IF(A111="","",COUNTIFS('Przypadki testowe'!$C$2:$C$300,"*"&amp;A111&amp;"*",'Przypadki testowe'!$K$2:$K$300,"Niezaliczony"))</f>
        <v/>
      </c>
      <c r="H111" s="0" t="str">
        <f aca="false">IF(A111="","",IF(E111&gt;0,"Pokryte","BRAK"))</f>
        <v/>
      </c>
    </row>
    <row r="112" customFormat="false" ht="15" hidden="false" customHeight="false" outlineLevel="0" collapsed="false">
      <c r="E112" s="0" t="str">
        <f aca="false">IF(A112="","",COUNTIF('Przypadki testowe'!$C$2:$C$300,"*"&amp;A112&amp;"*"))</f>
        <v/>
      </c>
      <c r="F112" s="0" t="str">
        <f aca="false">IF(A112="","",COUNTIFS('Przypadki testowe'!$C$2:$C$300,"*"&amp;A112&amp;"*",'Przypadki testowe'!$K$2:$K$300,"Zaliczony"))</f>
        <v/>
      </c>
      <c r="G112" s="0" t="str">
        <f aca="false">IF(A112="","",COUNTIFS('Przypadki testowe'!$C$2:$C$300,"*"&amp;A112&amp;"*",'Przypadki testowe'!$K$2:$K$300,"Niezaliczony"))</f>
        <v/>
      </c>
      <c r="H112" s="0" t="str">
        <f aca="false">IF(A112="","",IF(E112&gt;0,"Pokryte","BRAK"))</f>
        <v/>
      </c>
    </row>
    <row r="113" customFormat="false" ht="15" hidden="false" customHeight="false" outlineLevel="0" collapsed="false">
      <c r="E113" s="0" t="str">
        <f aca="false">IF(A113="","",COUNTIF('Przypadki testowe'!$C$2:$C$300,"*"&amp;A113&amp;"*"))</f>
        <v/>
      </c>
      <c r="F113" s="0" t="str">
        <f aca="false">IF(A113="","",COUNTIFS('Przypadki testowe'!$C$2:$C$300,"*"&amp;A113&amp;"*",'Przypadki testowe'!$K$2:$K$300,"Zaliczony"))</f>
        <v/>
      </c>
      <c r="G113" s="0" t="str">
        <f aca="false">IF(A113="","",COUNTIFS('Przypadki testowe'!$C$2:$C$300,"*"&amp;A113&amp;"*",'Przypadki testowe'!$K$2:$K$300,"Niezaliczony"))</f>
        <v/>
      </c>
      <c r="H113" s="0" t="str">
        <f aca="false">IF(A113="","",IF(E113&gt;0,"Pokryte","BRAK"))</f>
        <v/>
      </c>
    </row>
    <row r="114" customFormat="false" ht="15" hidden="false" customHeight="false" outlineLevel="0" collapsed="false">
      <c r="E114" s="0" t="str">
        <f aca="false">IF(A114="","",COUNTIF('Przypadki testowe'!$C$2:$C$300,"*"&amp;A114&amp;"*"))</f>
        <v/>
      </c>
      <c r="F114" s="0" t="str">
        <f aca="false">IF(A114="","",COUNTIFS('Przypadki testowe'!$C$2:$C$300,"*"&amp;A114&amp;"*",'Przypadki testowe'!$K$2:$K$300,"Zaliczony"))</f>
        <v/>
      </c>
      <c r="G114" s="0" t="str">
        <f aca="false">IF(A114="","",COUNTIFS('Przypadki testowe'!$C$2:$C$300,"*"&amp;A114&amp;"*",'Przypadki testowe'!$K$2:$K$300,"Niezaliczony"))</f>
        <v/>
      </c>
      <c r="H114" s="0" t="str">
        <f aca="false">IF(A114="","",IF(E114&gt;0,"Pokryte","BRAK"))</f>
        <v/>
      </c>
    </row>
    <row r="115" customFormat="false" ht="15" hidden="false" customHeight="false" outlineLevel="0" collapsed="false">
      <c r="E115" s="0" t="str">
        <f aca="false">IF(A115="","",COUNTIF('Przypadki testowe'!$C$2:$C$300,"*"&amp;A115&amp;"*"))</f>
        <v/>
      </c>
      <c r="F115" s="0" t="str">
        <f aca="false">IF(A115="","",COUNTIFS('Przypadki testowe'!$C$2:$C$300,"*"&amp;A115&amp;"*",'Przypadki testowe'!$K$2:$K$300,"Zaliczony"))</f>
        <v/>
      </c>
      <c r="G115" s="0" t="str">
        <f aca="false">IF(A115="","",COUNTIFS('Przypadki testowe'!$C$2:$C$300,"*"&amp;A115&amp;"*",'Przypadki testowe'!$K$2:$K$300,"Niezaliczony"))</f>
        <v/>
      </c>
      <c r="H115" s="0" t="str">
        <f aca="false">IF(A115="","",IF(E115&gt;0,"Pokryte","BRAK"))</f>
        <v/>
      </c>
    </row>
    <row r="116" customFormat="false" ht="15" hidden="false" customHeight="false" outlineLevel="0" collapsed="false">
      <c r="E116" s="0" t="str">
        <f aca="false">IF(A116="","",COUNTIF('Przypadki testowe'!$C$2:$C$300,"*"&amp;A116&amp;"*"))</f>
        <v/>
      </c>
      <c r="F116" s="0" t="str">
        <f aca="false">IF(A116="","",COUNTIFS('Przypadki testowe'!$C$2:$C$300,"*"&amp;A116&amp;"*",'Przypadki testowe'!$K$2:$K$300,"Zaliczony"))</f>
        <v/>
      </c>
      <c r="G116" s="0" t="str">
        <f aca="false">IF(A116="","",COUNTIFS('Przypadki testowe'!$C$2:$C$300,"*"&amp;A116&amp;"*",'Przypadki testowe'!$K$2:$K$300,"Niezaliczony"))</f>
        <v/>
      </c>
      <c r="H116" s="0" t="str">
        <f aca="false">IF(A116="","",IF(E116&gt;0,"Pokryte","BRAK"))</f>
        <v/>
      </c>
    </row>
    <row r="117" customFormat="false" ht="15" hidden="false" customHeight="false" outlineLevel="0" collapsed="false">
      <c r="E117" s="0" t="str">
        <f aca="false">IF(A117="","",COUNTIF('Przypadki testowe'!$C$2:$C$300,"*"&amp;A117&amp;"*"))</f>
        <v/>
      </c>
      <c r="F117" s="0" t="str">
        <f aca="false">IF(A117="","",COUNTIFS('Przypadki testowe'!$C$2:$C$300,"*"&amp;A117&amp;"*",'Przypadki testowe'!$K$2:$K$300,"Zaliczony"))</f>
        <v/>
      </c>
      <c r="G117" s="0" t="str">
        <f aca="false">IF(A117="","",COUNTIFS('Przypadki testowe'!$C$2:$C$300,"*"&amp;A117&amp;"*",'Przypadki testowe'!$K$2:$K$300,"Niezaliczony"))</f>
        <v/>
      </c>
      <c r="H117" s="0" t="str">
        <f aca="false">IF(A117="","",IF(E117&gt;0,"Pokryte","BRAK"))</f>
        <v/>
      </c>
    </row>
    <row r="118" customFormat="false" ht="15" hidden="false" customHeight="false" outlineLevel="0" collapsed="false">
      <c r="E118" s="0" t="str">
        <f aca="false">IF(A118="","",COUNTIF('Przypadki testowe'!$C$2:$C$300,"*"&amp;A118&amp;"*"))</f>
        <v/>
      </c>
      <c r="F118" s="0" t="str">
        <f aca="false">IF(A118="","",COUNTIFS('Przypadki testowe'!$C$2:$C$300,"*"&amp;A118&amp;"*",'Przypadki testowe'!$K$2:$K$300,"Zaliczony"))</f>
        <v/>
      </c>
      <c r="G118" s="0" t="str">
        <f aca="false">IF(A118="","",COUNTIFS('Przypadki testowe'!$C$2:$C$300,"*"&amp;A118&amp;"*",'Przypadki testowe'!$K$2:$K$300,"Niezaliczony"))</f>
        <v/>
      </c>
      <c r="H118" s="0" t="str">
        <f aca="false">IF(A118="","",IF(E118&gt;0,"Pokryte","BRAK"))</f>
        <v/>
      </c>
    </row>
    <row r="119" customFormat="false" ht="15" hidden="false" customHeight="false" outlineLevel="0" collapsed="false">
      <c r="E119" s="0" t="str">
        <f aca="false">IF(A119="","",COUNTIF('Przypadki testowe'!$C$2:$C$300,"*"&amp;A119&amp;"*"))</f>
        <v/>
      </c>
      <c r="F119" s="0" t="str">
        <f aca="false">IF(A119="","",COUNTIFS('Przypadki testowe'!$C$2:$C$300,"*"&amp;A119&amp;"*",'Przypadki testowe'!$K$2:$K$300,"Zaliczony"))</f>
        <v/>
      </c>
      <c r="G119" s="0" t="str">
        <f aca="false">IF(A119="","",COUNTIFS('Przypadki testowe'!$C$2:$C$300,"*"&amp;A119&amp;"*",'Przypadki testowe'!$K$2:$K$300,"Niezaliczony"))</f>
        <v/>
      </c>
      <c r="H119" s="0" t="str">
        <f aca="false">IF(A119="","",IF(E119&gt;0,"Pokryte","BRAK"))</f>
        <v/>
      </c>
    </row>
    <row r="120" customFormat="false" ht="15" hidden="false" customHeight="false" outlineLevel="0" collapsed="false">
      <c r="E120" s="0" t="str">
        <f aca="false">IF(A120="","",COUNTIF('Przypadki testowe'!$C$2:$C$300,"*"&amp;A120&amp;"*"))</f>
        <v/>
      </c>
      <c r="F120" s="0" t="str">
        <f aca="false">IF(A120="","",COUNTIFS('Przypadki testowe'!$C$2:$C$300,"*"&amp;A120&amp;"*",'Przypadki testowe'!$K$2:$K$300,"Zaliczony"))</f>
        <v/>
      </c>
      <c r="G120" s="0" t="str">
        <f aca="false">IF(A120="","",COUNTIFS('Przypadki testowe'!$C$2:$C$300,"*"&amp;A120&amp;"*",'Przypadki testowe'!$K$2:$K$300,"Niezaliczony"))</f>
        <v/>
      </c>
      <c r="H120" s="0" t="str">
        <f aca="false">IF(A120="","",IF(E120&gt;0,"Pokryte","BRAK"))</f>
        <v/>
      </c>
    </row>
  </sheetData>
  <autoFilter ref="A1:I1"/>
  <dataValidations count="1">
    <dataValidation allowBlank="true" error="Wybierz wartość z listy rozwijanej." errorStyle="stop" errorTitle="Priorytet" operator="between" prompt="Wybierz z listy" promptTitle="Priorytet" showDropDown="false" showErrorMessage="true" showInputMessage="true" sqref="C2:C300" type="list">
      <formula1>"Wysoki,Średni,Niski"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45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0"/>
  </cols>
  <sheetData>
    <row r="1" customFormat="false" ht="31.5" hidden="false" customHeight="true" outlineLevel="0" collapsed="false">
      <c r="A1" s="6" t="s">
        <v>109</v>
      </c>
      <c r="B1" s="6" t="s">
        <v>110</v>
      </c>
    </row>
    <row r="2" customFormat="false" ht="15" hidden="false" customHeight="true" outlineLevel="0" collapsed="false">
      <c r="A2" s="13" t="s">
        <v>111</v>
      </c>
      <c r="B2" s="14" t="s">
        <v>112</v>
      </c>
      <c r="C2" s="14"/>
      <c r="D2" s="14"/>
      <c r="E2" s="14"/>
      <c r="F2" s="14"/>
    </row>
    <row r="3" customFormat="false" ht="30" hidden="false" customHeight="true" outlineLevel="0" collapsed="false">
      <c r="A3" s="13" t="s">
        <v>113</v>
      </c>
      <c r="B3" s="14" t="s">
        <v>114</v>
      </c>
      <c r="C3" s="14"/>
      <c r="D3" s="14"/>
      <c r="E3" s="14"/>
      <c r="F3" s="14"/>
    </row>
    <row r="4" customFormat="false" ht="15" hidden="false" customHeight="true" outlineLevel="0" collapsed="false">
      <c r="A4" s="13" t="s">
        <v>115</v>
      </c>
      <c r="B4" s="14" t="s">
        <v>116</v>
      </c>
      <c r="C4" s="14"/>
      <c r="D4" s="14"/>
      <c r="E4" s="14"/>
      <c r="F4" s="14"/>
    </row>
    <row r="5" customFormat="false" ht="15" hidden="false" customHeight="false" outlineLevel="0" collapsed="false">
      <c r="A5" s="13" t="s">
        <v>117</v>
      </c>
      <c r="B5" s="14" t="s">
        <v>118</v>
      </c>
    </row>
    <row r="6" customFormat="false" ht="15" hidden="false" customHeight="false" outlineLevel="0" collapsed="false">
      <c r="A6" s="13" t="s">
        <v>119</v>
      </c>
      <c r="B6" s="14"/>
    </row>
    <row r="7" customFormat="false" ht="15" hidden="false" customHeight="false" outlineLevel="0" collapsed="false">
      <c r="A7" s="13" t="s">
        <v>120</v>
      </c>
      <c r="B7" s="14"/>
    </row>
    <row r="10" customFormat="false" ht="31.5" hidden="false" customHeight="true" outlineLevel="0" collapsed="false">
      <c r="A10" s="6" t="s">
        <v>35</v>
      </c>
      <c r="B10" s="6" t="s">
        <v>121</v>
      </c>
      <c r="C10" s="6" t="s">
        <v>122</v>
      </c>
      <c r="D10" s="6" t="s">
        <v>123</v>
      </c>
      <c r="E10" s="6" t="s">
        <v>124</v>
      </c>
      <c r="F10" s="6" t="s">
        <v>125</v>
      </c>
    </row>
    <row r="11" customFormat="false" ht="41.75" hidden="false" customHeight="false" outlineLevel="0" collapsed="false">
      <c r="A11" s="7" t="n">
        <v>1</v>
      </c>
      <c r="B11" s="7" t="s">
        <v>126</v>
      </c>
      <c r="C11" s="7" t="s">
        <v>127</v>
      </c>
      <c r="D11" s="8" t="s">
        <v>128</v>
      </c>
      <c r="E11" s="7"/>
      <c r="F11" s="7" t="s">
        <v>129</v>
      </c>
    </row>
  </sheetData>
  <mergeCells count="3">
    <mergeCell ref="B2:F2"/>
    <mergeCell ref="B3:F3"/>
    <mergeCell ref="B4:F4"/>
  </mergeCells>
  <dataValidations count="1">
    <dataValidation allowBlank="true" error="Wybierz wartość z listy rozwijanej." errorStyle="stop" errorTitle="Ocena" operator="between" prompt="Wybierz z listy" promptTitle="Ocena" showDropDown="false" showErrorMessage="true" showInputMessage="false" sqref="D11:D200" type="list">
      <formula1>"OK,Kandydat na defekt,Pytanie"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22"/>
    <col collapsed="false" customWidth="true" hidden="false" outlineLevel="0" max="8" min="8" style="0" width="44"/>
    <col collapsed="false" customWidth="true" hidden="false" outlineLevel="0" max="9" min="9" style="0" width="34"/>
    <col collapsed="false" customWidth="true" hidden="false" outlineLevel="0" max="10" min="10" style="0" width="38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6" min="15" style="0" width="18"/>
    <col collapsed="false" customWidth="true" hidden="false" outlineLevel="0" max="17" min="17" style="0" width="32"/>
  </cols>
  <sheetData>
    <row r="1" customFormat="false" ht="31.5" hidden="false" customHeight="true" outlineLevel="0" collapsed="false">
      <c r="A1" s="9" t="s">
        <v>44</v>
      </c>
      <c r="B1" s="9" t="s">
        <v>130</v>
      </c>
      <c r="C1" s="9" t="s">
        <v>120</v>
      </c>
      <c r="D1" s="9" t="s">
        <v>131</v>
      </c>
      <c r="E1" s="9" t="s">
        <v>132</v>
      </c>
      <c r="F1" s="9" t="s">
        <v>133</v>
      </c>
      <c r="G1" s="9" t="s">
        <v>55</v>
      </c>
      <c r="H1" s="9" t="s">
        <v>134</v>
      </c>
      <c r="I1" s="9" t="s">
        <v>58</v>
      </c>
      <c r="J1" s="9" t="s">
        <v>59</v>
      </c>
      <c r="K1" s="9" t="s">
        <v>135</v>
      </c>
      <c r="L1" s="9" t="s">
        <v>46</v>
      </c>
      <c r="M1" s="9" t="s">
        <v>136</v>
      </c>
      <c r="N1" s="9" t="s">
        <v>60</v>
      </c>
      <c r="O1" s="9" t="s">
        <v>137</v>
      </c>
      <c r="P1" s="9" t="s">
        <v>138</v>
      </c>
      <c r="Q1" s="9" t="s">
        <v>47</v>
      </c>
    </row>
    <row r="2" customFormat="false" ht="41.75" hidden="false" customHeight="false" outlineLevel="0" collapsed="false">
      <c r="A2" s="10" t="s">
        <v>139</v>
      </c>
      <c r="B2" s="10" t="s">
        <v>140</v>
      </c>
      <c r="C2" s="10" t="s">
        <v>141</v>
      </c>
      <c r="D2" s="10" t="s">
        <v>142</v>
      </c>
      <c r="E2" s="10" t="s">
        <v>143</v>
      </c>
      <c r="F2" s="10" t="s">
        <v>144</v>
      </c>
      <c r="G2" s="10" t="s">
        <v>145</v>
      </c>
      <c r="H2" s="10" t="s">
        <v>146</v>
      </c>
      <c r="I2" s="10" t="s">
        <v>147</v>
      </c>
      <c r="J2" s="10" t="s">
        <v>148</v>
      </c>
      <c r="K2" s="10" t="s">
        <v>149</v>
      </c>
      <c r="L2" s="10" t="s">
        <v>68</v>
      </c>
      <c r="M2" s="10" t="s">
        <v>150</v>
      </c>
      <c r="N2" s="10" t="s">
        <v>151</v>
      </c>
      <c r="O2" s="10" t="s">
        <v>152</v>
      </c>
      <c r="P2" s="10" t="s">
        <v>153</v>
      </c>
      <c r="Q2" s="10" t="s">
        <v>52</v>
      </c>
    </row>
  </sheetData>
  <autoFilter ref="A1:Q1"/>
  <dataValidations count="4">
    <dataValidation allowBlank="true" error="Wybierz wartość z listy rozwijanej." errorStyle="stop" errorTitle="Ważność" operator="between" prompt="Wybierz z listy" promptTitle="Ważność" showDropDown="false" showErrorMessage="true" showInputMessage="true" sqref="K2:K300" type="list">
      <formula1>"Krytyczna,Wysoka,Średnia,Niska"</formula1>
      <formula2>0</formula2>
    </dataValidation>
    <dataValidation allowBlank="true" error="Wybierz wartość z listy rozwijanej." errorStyle="stop" errorTitle="Priorytet" operator="between" prompt="Wybierz z listy" promptTitle="Priorytet" showDropDown="false" showErrorMessage="true" showInputMessage="true" sqref="L2:L300" type="list">
      <formula1>"Wysoki,Średni,Niski"</formula1>
      <formula2>0</formula2>
    </dataValidation>
    <dataValidation allowBlank="true" error="Wybierz wartość z listy rozwijanej." errorStyle="stop" errorTitle="Powtarzalność" operator="between" prompt="Wybierz z listy" promptTitle="Powtarzalność" showDropDown="false" showErrorMessage="true" showInputMessage="true" sqref="M2:M300" type="list">
      <formula1>"Zawsze,Czasami,Jednorazowo"</formula1>
      <formula2>0</formula2>
    </dataValidation>
    <dataValidation allowBlank="true" error="Wybierz wartość z listy rozwijanej." errorStyle="stop" errorTitle="Status" operator="between" prompt="Wybierz z listy" promptTitle="Status" showDropDown="false" showErrorMessage="true" showInputMessage="true" sqref="N2:N300" type="list">
      <formula1>"Nowy,Otwarty,W naprawie,Naprawiony,Do retestu,Zamknięty,Odrzucony,Odroczony,Ponownie otwarty"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52"/>
    <col collapsed="false" customWidth="true" hidden="false" outlineLevel="0" max="6" min="6" style="0" width="11"/>
  </cols>
  <sheetData>
    <row r="1" customFormat="false" ht="31.5" hidden="false" customHeight="true" outlineLevel="0" collapsed="false">
      <c r="A1" s="9" t="s">
        <v>35</v>
      </c>
      <c r="B1" s="9" t="s">
        <v>154</v>
      </c>
      <c r="C1" s="9" t="s">
        <v>155</v>
      </c>
      <c r="D1" s="9" t="s">
        <v>156</v>
      </c>
      <c r="E1" s="9" t="s">
        <v>157</v>
      </c>
      <c r="F1" s="9" t="s">
        <v>61</v>
      </c>
    </row>
    <row r="2" customFormat="false" ht="28.35" hidden="false" customHeight="false" outlineLevel="0" collapsed="false">
      <c r="A2" s="10" t="s">
        <v>158</v>
      </c>
      <c r="B2" s="10" t="s">
        <v>159</v>
      </c>
      <c r="C2" s="10" t="s">
        <v>160</v>
      </c>
      <c r="D2" s="10" t="s">
        <v>161</v>
      </c>
      <c r="E2" s="10"/>
      <c r="F2" s="10"/>
    </row>
  </sheetData>
  <autoFilter ref="A1:F1"/>
  <dataValidations count="1">
    <dataValidation allowBlank="true" error="Wybierz wartość z listy rozwijanej." errorStyle="stop" errorTitle="Wynik" operator="between" prompt="Wybierz z listy" promptTitle="Wynik" showDropDown="false" showErrorMessage="true" showInputMessage="true" sqref="D2:D300" type="list">
      <formula1>"Tak,Nie,Nie dotyczy,Nie sprawdzono"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80"/>
  </cols>
  <sheetData>
    <row r="1" customFormat="false" ht="31.5" hidden="false" customHeight="true" outlineLevel="0" collapsed="false">
      <c r="A1" s="9" t="s">
        <v>162</v>
      </c>
      <c r="B1" s="9" t="s">
        <v>163</v>
      </c>
      <c r="C1" s="9" t="s">
        <v>164</v>
      </c>
    </row>
    <row r="2" customFormat="false" ht="15" hidden="false" customHeight="false" outlineLevel="0" collapsed="false">
      <c r="A2" s="15" t="s">
        <v>165</v>
      </c>
      <c r="B2" s="16"/>
      <c r="C2" s="16"/>
    </row>
    <row r="3" customFormat="false" ht="15" hidden="false" customHeight="false" outlineLevel="0" collapsed="false">
      <c r="A3" s="17" t="s">
        <v>166</v>
      </c>
      <c r="B3" s="11"/>
      <c r="C3" s="11"/>
    </row>
    <row r="4" customFormat="false" ht="15" hidden="false" customHeight="false" outlineLevel="0" collapsed="false">
      <c r="A4" s="17" t="s">
        <v>167</v>
      </c>
      <c r="B4" s="11"/>
      <c r="C4" s="11"/>
    </row>
    <row r="5" customFormat="false" ht="15" hidden="false" customHeight="false" outlineLevel="0" collapsed="false">
      <c r="A5" s="17" t="s">
        <v>168</v>
      </c>
      <c r="B5" s="11"/>
      <c r="C5" s="11"/>
    </row>
    <row r="6" customFormat="false" ht="15" hidden="false" customHeight="false" outlineLevel="0" collapsed="false">
      <c r="A6" s="17" t="s">
        <v>169</v>
      </c>
      <c r="B6" s="11"/>
      <c r="C6" s="11"/>
    </row>
    <row r="7" customFormat="false" ht="15" hidden="false" customHeight="false" outlineLevel="0" collapsed="false">
      <c r="A7" s="15" t="s">
        <v>170</v>
      </c>
      <c r="B7" s="16"/>
      <c r="C7" s="16"/>
    </row>
    <row r="8" customFormat="false" ht="15" hidden="false" customHeight="false" outlineLevel="0" collapsed="false">
      <c r="A8" s="17" t="s">
        <v>171</v>
      </c>
      <c r="B8" s="11" t="n">
        <f aca="false">COUNTA('Przypadki testowe'!A2:A300)</f>
        <v>1</v>
      </c>
      <c r="C8" s="11"/>
    </row>
    <row r="9" customFormat="false" ht="15" hidden="false" customHeight="false" outlineLevel="0" collapsed="false">
      <c r="A9" s="17" t="s">
        <v>78</v>
      </c>
      <c r="B9" s="11" t="n">
        <f aca="false">COUNTIF('Przypadki testowe'!K2:K300,"Zaliczony")</f>
        <v>0</v>
      </c>
      <c r="C9" s="11"/>
    </row>
    <row r="10" customFormat="false" ht="15" hidden="false" customHeight="false" outlineLevel="0" collapsed="false">
      <c r="A10" s="17" t="s">
        <v>79</v>
      </c>
      <c r="B10" s="11" t="n">
        <f aca="false">COUNTIF('Przypadki testowe'!K2:K300,"Niezaliczony")</f>
        <v>0</v>
      </c>
      <c r="C10" s="11"/>
    </row>
    <row r="11" customFormat="false" ht="15" hidden="false" customHeight="false" outlineLevel="0" collapsed="false">
      <c r="A11" s="17" t="s">
        <v>172</v>
      </c>
      <c r="B11" s="11" t="n">
        <f aca="false">COUNTIF('Przypadki testowe'!K2:K300,"Zablokowany")</f>
        <v>0</v>
      </c>
      <c r="C11" s="11"/>
    </row>
    <row r="12" customFormat="false" ht="15" hidden="false" customHeight="false" outlineLevel="0" collapsed="false">
      <c r="A12" s="17" t="s">
        <v>173</v>
      </c>
      <c r="B12" s="11" t="n">
        <f aca="false">COUNTIF('Przypadki testowe'!K2:K300,"Pominięty")</f>
        <v>0</v>
      </c>
      <c r="C12" s="11"/>
    </row>
    <row r="13" customFormat="false" ht="15" hidden="false" customHeight="false" outlineLevel="0" collapsed="false">
      <c r="A13" s="17" t="s">
        <v>73</v>
      </c>
      <c r="B13" s="11" t="n">
        <f aca="false">COUNTIF('Przypadki testowe'!K2:K300,"Nie wykonano")</f>
        <v>1</v>
      </c>
      <c r="C13" s="11"/>
    </row>
    <row r="14" customFormat="false" ht="15" hidden="false" customHeight="false" outlineLevel="0" collapsed="false">
      <c r="A14" s="17" t="s">
        <v>174</v>
      </c>
      <c r="B14" s="18" t="n">
        <f aca="false">IFERROR((B9+B10)/B8,0)</f>
        <v>0</v>
      </c>
      <c r="C14" s="11"/>
    </row>
    <row r="15" customFormat="false" ht="15" hidden="false" customHeight="false" outlineLevel="0" collapsed="false">
      <c r="A15" s="17" t="s">
        <v>175</v>
      </c>
      <c r="B15" s="18" t="n">
        <f aca="false">IFERROR(B9/(B9+B10),0)</f>
        <v>0</v>
      </c>
      <c r="C15" s="11"/>
    </row>
    <row r="16" customFormat="false" ht="15" hidden="false" customHeight="false" outlineLevel="0" collapsed="false">
      <c r="A16" s="15" t="s">
        <v>176</v>
      </c>
      <c r="B16" s="16"/>
      <c r="C16" s="16"/>
    </row>
    <row r="17" customFormat="false" ht="15" hidden="false" customHeight="false" outlineLevel="0" collapsed="false">
      <c r="A17" s="17" t="s">
        <v>177</v>
      </c>
      <c r="B17" s="11" t="n">
        <f aca="false">COUNTA('Macierz śledzenia'!A2:A300)</f>
        <v>15</v>
      </c>
      <c r="C17" s="11"/>
    </row>
    <row r="18" customFormat="false" ht="15" hidden="false" customHeight="false" outlineLevel="0" collapsed="false">
      <c r="A18" s="17" t="s">
        <v>178</v>
      </c>
      <c r="B18" s="11" t="n">
        <f aca="false">COUNTIF('Macierz śledzenia'!H2:H300,"Pokryte")</f>
        <v>2</v>
      </c>
      <c r="C18" s="11"/>
    </row>
    <row r="19" customFormat="false" ht="15" hidden="false" customHeight="false" outlineLevel="0" collapsed="false">
      <c r="A19" s="17" t="s">
        <v>179</v>
      </c>
      <c r="B19" s="18" t="n">
        <f aca="false">IFERROR(B18/B17,0)</f>
        <v>0.133333333333333</v>
      </c>
      <c r="C19" s="11"/>
    </row>
    <row r="20" customFormat="false" ht="15" hidden="false" customHeight="false" outlineLevel="0" collapsed="false">
      <c r="A20" s="15" t="s">
        <v>180</v>
      </c>
      <c r="B20" s="16"/>
      <c r="C20" s="16"/>
    </row>
    <row r="21" customFormat="false" ht="15" hidden="false" customHeight="false" outlineLevel="0" collapsed="false">
      <c r="A21" s="17" t="s">
        <v>181</v>
      </c>
      <c r="B21" s="11" t="n">
        <f aca="false">COUNTA('Lista kontrolna'!A2:A300)</f>
        <v>1</v>
      </c>
      <c r="C21" s="11"/>
    </row>
    <row r="22" customFormat="false" ht="15" hidden="false" customHeight="false" outlineLevel="0" collapsed="false">
      <c r="A22" s="17" t="s">
        <v>182</v>
      </c>
      <c r="B22" s="11" t="n">
        <f aca="false">COUNTIF('Lista kontrolna'!D2:D300,"Tak")</f>
        <v>0</v>
      </c>
      <c r="C22" s="11"/>
    </row>
    <row r="23" customFormat="false" ht="15" hidden="false" customHeight="false" outlineLevel="0" collapsed="false">
      <c r="A23" s="17" t="s">
        <v>183</v>
      </c>
      <c r="B23" s="11" t="n">
        <f aca="false">COUNTIF('Lista kontrolna'!D2:D300,"Nie")</f>
        <v>0</v>
      </c>
      <c r="C23" s="11"/>
    </row>
    <row r="24" customFormat="false" ht="15" hidden="false" customHeight="false" outlineLevel="0" collapsed="false">
      <c r="A24" s="17" t="s">
        <v>184</v>
      </c>
      <c r="B24" s="11" t="n">
        <f aca="false">COUNTIF('Lista kontrolna'!D2:D300,"Nie dotyczy")+COUNTIF('Lista kontrolna'!D2:D300,"Nie sprawdzono")</f>
        <v>1</v>
      </c>
      <c r="C24" s="11"/>
    </row>
    <row r="25" customFormat="false" ht="15" hidden="false" customHeight="false" outlineLevel="0" collapsed="false">
      <c r="A25" s="15" t="s">
        <v>185</v>
      </c>
      <c r="B25" s="16"/>
      <c r="C25" s="16"/>
    </row>
    <row r="26" customFormat="false" ht="15" hidden="false" customHeight="false" outlineLevel="0" collapsed="false">
      <c r="A26" s="17" t="s">
        <v>186</v>
      </c>
      <c r="B26" s="11" t="n">
        <f aca="false">COUNTA('Raporty defektów'!A2:A300)</f>
        <v>1</v>
      </c>
      <c r="C26" s="11"/>
    </row>
    <row r="27" customFormat="false" ht="15" hidden="false" customHeight="false" outlineLevel="0" collapsed="false">
      <c r="A27" s="17" t="s">
        <v>187</v>
      </c>
      <c r="B27" s="11" t="n">
        <f aca="false">COUNTIF('Raporty defektów'!K2:K300,"Krytyczna")</f>
        <v>0</v>
      </c>
      <c r="C27" s="11"/>
    </row>
    <row r="28" customFormat="false" ht="15" hidden="false" customHeight="false" outlineLevel="0" collapsed="false">
      <c r="A28" s="17" t="s">
        <v>188</v>
      </c>
      <c r="B28" s="11" t="n">
        <f aca="false">COUNTIF('Raporty defektów'!K2:K300,"Wysoka")</f>
        <v>1</v>
      </c>
      <c r="C28" s="11"/>
    </row>
    <row r="29" customFormat="false" ht="15" hidden="false" customHeight="false" outlineLevel="0" collapsed="false">
      <c r="A29" s="17" t="s">
        <v>189</v>
      </c>
      <c r="B29" s="11" t="n">
        <f aca="false">COUNTIF('Raporty defektów'!K2:K300,"Średnia")</f>
        <v>0</v>
      </c>
      <c r="C29" s="11"/>
    </row>
    <row r="30" customFormat="false" ht="15" hidden="false" customHeight="false" outlineLevel="0" collapsed="false">
      <c r="A30" s="17" t="s">
        <v>190</v>
      </c>
      <c r="B30" s="11" t="n">
        <f aca="false">COUNTIF('Raporty defektów'!K2:K300,"Niska")</f>
        <v>0</v>
      </c>
      <c r="C30" s="11"/>
    </row>
    <row r="31" customFormat="false" ht="15" hidden="false" customHeight="false" outlineLevel="0" collapsed="false">
      <c r="A31" s="17" t="s">
        <v>191</v>
      </c>
      <c r="B31" s="11" t="n">
        <f aca="false">B26-COUNTIF('Raporty defektów'!N2:N300,"Zamknięty")-COUNTIF('Raporty defektów'!N2:N300,"Odrzucony")</f>
        <v>1</v>
      </c>
      <c r="C31" s="11"/>
    </row>
    <row r="32" customFormat="false" ht="15" hidden="false" customHeight="false" outlineLevel="0" collapsed="false">
      <c r="A32" s="15" t="s">
        <v>192</v>
      </c>
      <c r="B32" s="16"/>
      <c r="C32" s="16"/>
    </row>
    <row r="33" customFormat="false" ht="15" hidden="false" customHeight="false" outlineLevel="0" collapsed="false">
      <c r="A33" s="17" t="s">
        <v>193</v>
      </c>
      <c r="B33" s="11"/>
      <c r="C33" s="11" t="s">
        <v>194</v>
      </c>
    </row>
    <row r="34" customFormat="false" ht="15" hidden="false" customHeight="false" outlineLevel="0" collapsed="false">
      <c r="A34" s="17" t="s">
        <v>195</v>
      </c>
      <c r="B34" s="11"/>
      <c r="C34" s="11" t="s">
        <v>196</v>
      </c>
    </row>
    <row r="35" customFormat="false" ht="15" hidden="false" customHeight="false" outlineLevel="0" collapsed="false">
      <c r="A35" s="17" t="s">
        <v>197</v>
      </c>
      <c r="B35" s="12"/>
      <c r="C35" s="11" t="s">
        <v>198</v>
      </c>
    </row>
    <row r="36" customFormat="false" ht="15" hidden="false" customHeight="false" outlineLevel="0" collapsed="false">
      <c r="A36" s="17" t="s">
        <v>199</v>
      </c>
      <c r="B36" s="11"/>
      <c r="C36" s="11" t="s">
        <v>200</v>
      </c>
    </row>
    <row r="37" customFormat="false" ht="15" hidden="false" customHeight="false" outlineLevel="0" collapsed="false">
      <c r="A37" s="17" t="s">
        <v>201</v>
      </c>
      <c r="B37" s="11"/>
      <c r="C37" s="11"/>
    </row>
  </sheetData>
  <autoFilter ref="A1:C1"/>
  <dataValidations count="1">
    <dataValidation allowBlank="true" error="Wybierz wartość z listy rozwijanej." errorStyle="stop" errorTitle="Kryteria wyjścia" operator="between" prompt="Wybierz z listy" promptTitle="Kryteria wyjścia" showDropDown="false" showErrorMessage="true" showInputMessage="true" sqref="B35" type="list">
      <formula1>"Tak,Nie,Częściowo"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2026-09-27T06:27:38Z</dcterms:created>
  <dc:creator>openpyxl</dc:creator>
  <dc:description/>
  <dc:language>en-US</dc:language>
  <cp:lastModifiedBy/>
  <dcterms:modified xsi:type="dcterms:W3CDTF">2026-10-06T21:50:15Z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