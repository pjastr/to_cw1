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no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<sst xmlns="http://schemas.openxmlformats.org/spreadsheetml/2006/main" count="24" uniqueCount="24">
  <si>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KinoTO – zakup biletów do kina</t>
  </si>
  <si>
    <t xml:space="preserve">Symulator wersji 1.0 do ćwiczeń z testowania. Wpisz dane w żółte pola – podsumowanie pojawia się samo (odpowiednik kliknięcia „Kup”).</t>
  </si>
  <si>
    <t xml:space="preserve">Formularz zakupu</t>
  </si>
  <si>
    <t xml:space="preserve">Jak korzystać</t>
  </si>
  <si>
    <t xml:space="preserve">Imię</t>
  </si>
  <si>
    <t xml:space="preserve">1. Wpisuj dane tylko w żółte pola (C4–C9).</t>
  </si>
  <si>
    <t xml:space="preserve">E-mail</t>
  </si>
  <si>
    <t xml:space="preserve">2. Kartę Kinomaniaka wybierz z listy (Tak / Nie).</t>
  </si>
  <si>
    <t xml:space="preserve">Wiek</t>
  </si>
  <si>
    <t xml:space="preserve">3. Komunikaty o błędach pojawiają się w sekcji „Komunikaty”.</t>
  </si>
  <si>
    <t xml:space="preserve">Liczba biletów</t>
  </si>
  <si>
    <t xml:space="preserve">4. Przy poprawnych danych pojawia się „Podsumowanie”.</t>
  </si>
  <si>
    <t xml:space="preserve">Kod rabatowy</t>
  </si>
  <si>
    <t xml:space="preserve">5. Przed kolejnym testem wyczyść pola (Delete).</t>
  </si>
  <si>
    <t xml:space="preserve">Mam Kartę Kinomaniaka</t>
  </si>
  <si>
    <t xml:space="preserve">Nie</t>
  </si>
  <si>
    <t xml:space="preserve">6. Arkusz jest chroniony – logika systemu jest niewidoczna</t>
  </si>
  <si>
    <t xml:space="preserve">   (testy czarnoskrzynkowe).</t>
  </si>
  <si>
    <t xml:space="preserve">Komunikaty</t>
  </si>
  <si>
    <t xml:space="preserve">Podsumowanie</t>
  </si>
  <si>
    <t xml:space="preserve">Cena biletu</t>
  </si>
  <si>
    <t xml:space="preserve">Rabat</t>
  </si>
  <si>
    <t xml:space="preserve">Opłata rezerwacyjna</t>
  </si>
  <si>
    <t xml:space="preserve">Do zapłaty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</si>
</sst>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&quot; zł&quot;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64" fontId="6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tru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13" fillId="4" borderId="1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"/>
    <col collapsed="false" customWidth="true" hidden="false" outlineLevel="0" max="5" min="5" style="0" width="48"/>
    <col collapsed="false" customWidth="true" hidden="true" outlineLevel="0" max="8" min="8" style="0" width="13"/>
  </cols>
  <sheetData>
    <row r="1" customFormat="false" ht="25.5" hidden="false" customHeight="true" outlineLevel="0" collapsed="false">
      <c r="A1" s="1"/>
      <c r="B1" s="2" t="s">
        <v>0</v>
      </c>
      <c r="C1" s="2"/>
      <c r="D1" s="1"/>
      <c r="E1" s="1"/>
      <c r="F1" s="1"/>
      <c r="G1" s="1"/>
      <c r="H1" s="1"/>
    </row>
    <row r="2" customFormat="false" ht="30" hidden="false" customHeight="true" outlineLevel="0" collapsed="false">
      <c r="A2" s="1"/>
      <c r="B2" s="3" t="s">
        <v>1</v>
      </c>
      <c r="C2" s="3"/>
      <c r="D2" s="3"/>
      <c r="E2" s="3"/>
      <c r="F2" s="1"/>
      <c r="G2" s="1"/>
      <c r="H2" s="1"/>
    </row>
    <row r="3" customFormat="false" ht="15" hidden="false" customHeight="false" outlineLevel="0" collapsed="false">
      <c r="A3" s="1"/>
      <c r="B3" s="4" t="s">
        <v>2</v>
      </c>
      <c r="C3" s="5"/>
      <c r="D3" s="1"/>
      <c r="E3" s="4" t="s">
        <v>3</v>
      </c>
      <c r="F3" s="1"/>
      <c r="G3" s="1"/>
      <c r="H3" s="1"/>
    </row>
    <row r="4" customFormat="false" ht="19.5" hidden="false" customHeight="true" outlineLevel="0" collapsed="false">
      <c r="A4" s="1"/>
      <c r="B4" s="6" t="s">
        <v>4</v>
      </c>
      <c r="C4" s="7"/>
      <c r="D4" s="1"/>
      <c r="E4" s="8" t="s">
        <v>5</v>
      </c>
      <c r="F4" s="1"/>
      <c r="G4" s="1"/>
      <c r="H4" s="9" t="b">
        <f aca="false">AND(LEN(C4)&gt;=2,LEN(C4)&lt;=30)</f>
        <v>0</v>
      </c>
    </row>
    <row r="5" customFormat="false" ht="19.5" hidden="false" customHeight="true" outlineLevel="0" collapsed="false">
      <c r="A5" s="1"/>
      <c r="B5" s="6" t="s">
        <v>6</v>
      </c>
      <c r="C5" s="7"/>
      <c r="D5" s="1"/>
      <c r="E5" s="8" t="s">
        <v>7</v>
      </c>
      <c r="F5" s="1"/>
      <c r="G5" s="1"/>
      <c r="H5" s="9" t="b">
        <f aca="false">IFERROR(AND(LEN(C5)-LEN(SUBSTITUTE(C5,"@",""))=1,FIND("@",C5)&gt;1,ISNUMBER(FIND(".",C5,FIND("@",C5)+2)),RIGHT(C5,1)&lt;&gt;"."),FALSE())</f>
        <v>0</v>
      </c>
    </row>
    <row r="6" customFormat="false" ht="19.5" hidden="false" customHeight="true" outlineLevel="0" collapsed="false">
      <c r="A6" s="1"/>
      <c r="B6" s="6" t="s">
        <v>8</v>
      </c>
      <c r="C6" s="7"/>
      <c r="D6" s="1"/>
      <c r="E6" s="8" t="s">
        <v>9</v>
      </c>
      <c r="F6" s="1"/>
      <c r="G6" s="1"/>
      <c r="H6" s="9" t="b">
        <f aca="false">IF(ISNUMBER(C6),AND(C6=INT(C6),C6&gt;=1,C6&lt;=120),FALSE())</f>
        <v>0</v>
      </c>
    </row>
    <row r="7" customFormat="false" ht="19.5" hidden="false" customHeight="true" outlineLevel="0" collapsed="false">
      <c r="A7" s="1"/>
      <c r="B7" s="6" t="s">
        <v>10</v>
      </c>
      <c r="C7" s="7"/>
      <c r="D7" s="1"/>
      <c r="E7" s="8" t="s">
        <v>11</v>
      </c>
      <c r="F7" s="1"/>
      <c r="G7" s="1"/>
      <c r="H7" s="9" t="b">
        <f aca="false">IF(ISNUMBER(C7),AND(C7=INT(C7),C7&gt;=1,C7&lt;=11),FALSE())</f>
        <v>0</v>
      </c>
    </row>
    <row r="8" customFormat="false" ht="19.5" hidden="false" customHeight="true" outlineLevel="0" collapsed="false">
      <c r="A8" s="1"/>
      <c r="B8" s="6" t="s">
        <v>12</v>
      </c>
      <c r="C8" s="7"/>
      <c r="D8" s="1"/>
      <c r="E8" s="8" t="s">
        <v>13</v>
      </c>
      <c r="F8" s="1"/>
      <c r="G8" s="1"/>
      <c r="H8" s="9" t="b">
        <f aca="false">EXACT(TRIM(C8),"KINO10")</f>
        <v>0</v>
      </c>
    </row>
    <row r="9" customFormat="false" ht="19.5" hidden="false" customHeight="true" outlineLevel="0" collapsed="false">
      <c r="A9" s="1"/>
      <c r="B9" s="6" t="s">
        <v>14</v>
      </c>
      <c r="C9" s="7" t="s">
        <v>15</v>
      </c>
      <c r="D9" s="1"/>
      <c r="E9" s="8" t="s">
        <v>16</v>
      </c>
      <c r="F9" s="1"/>
      <c r="G9" s="1"/>
      <c r="H9" s="9" t="b">
        <f aca="false">C9="Tak"</f>
        <v>0</v>
      </c>
    </row>
    <row r="10" customFormat="false" ht="15" hidden="false" customHeight="false" outlineLevel="0" collapsed="false">
      <c r="A10" s="1"/>
      <c r="B10" s="1"/>
      <c r="C10" s="1"/>
      <c r="D10" s="1"/>
      <c r="E10" s="8" t="s">
        <v>17</v>
      </c>
      <c r="F10" s="1"/>
      <c r="G10" s="1"/>
      <c r="H10" s="9" t="b">
        <f aca="false">AND(H4,H5,H6,H7)</f>
        <v>0</v>
      </c>
    </row>
    <row r="11" customFormat="false" ht="15" hidden="false" customHeight="false" outlineLevel="0" collapsed="false">
      <c r="A11" s="1"/>
      <c r="B11" s="4" t="s">
        <v>18</v>
      </c>
      <c r="C11" s="5"/>
      <c r="D11" s="1"/>
      <c r="E11" s="1"/>
      <c r="F11" s="1"/>
      <c r="G11" s="1"/>
      <c r="H11" s="1" t="n">
        <f aca="false">IF(H6,IF(OR(C6&lt;18,C6&gt;65),15,30),0)</f>
        <v>0</v>
      </c>
    </row>
    <row r="12" customFormat="false" ht="15" hidden="false" customHeight="false" outlineLevel="0" collapsed="false">
      <c r="A12" s="1"/>
      <c r="B12" s="10" t="str">
        <f aca="false">IF(H4,"","Podaj poprawne imię.")</f>
        <v>Podaj poprawne imię.</v>
      </c>
      <c r="C12" s="10"/>
      <c r="D12" s="1"/>
      <c r="E12" s="1"/>
      <c r="F12" s="1"/>
      <c r="G12" s="1"/>
      <c r="H12" s="1" t="n">
        <f aca="false">IF(AND(H8,H9),20,IF(OR(H8,H9),10,0))</f>
        <v>0</v>
      </c>
    </row>
    <row r="13" customFormat="false" ht="15" hidden="false" customHeight="false" outlineLevel="0" collapsed="false">
      <c r="A13" s="1"/>
      <c r="B13" s="10" t="str">
        <f aca="false">IF(H5,"","Niepoprawny adres e-mail.")</f>
        <v>Niepoprawny adres e-mail.</v>
      </c>
      <c r="C13" s="10"/>
      <c r="D13" s="1"/>
      <c r="E13" s="1"/>
      <c r="F13" s="1"/>
      <c r="G13" s="1"/>
      <c r="H13" s="1" t="n">
        <f aca="false">IF(H10,C7*H11,0)</f>
        <v>0</v>
      </c>
    </row>
    <row r="14" customFormat="false" ht="15" hidden="false" customHeight="false" outlineLevel="0" collapsed="false">
      <c r="A14" s="1"/>
      <c r="B14" s="10" t="str">
        <f aca="false">IF(H6,"","Podaj wiek od 1 do 120.")</f>
        <v>Podaj wiek od 1 do 120.</v>
      </c>
      <c r="C14" s="10"/>
      <c r="D14" s="1"/>
      <c r="E14" s="1"/>
      <c r="F14" s="1"/>
      <c r="G14" s="1"/>
      <c r="H14" s="1" t="n">
        <f aca="false">IF(OR(H9,H13&gt;=100),0,2)</f>
        <v>2</v>
      </c>
    </row>
    <row r="15" customFormat="false" ht="15" hidden="false" customHeight="false" outlineLevel="0" collapsed="false">
      <c r="A15" s="1"/>
      <c r="B15" s="10" t="str">
        <f aca="false">IF(H7,"","Można kupić od 1 do 10 biletów.")</f>
        <v>Można kupić od 1 do 10 biletów.</v>
      </c>
      <c r="C15" s="10"/>
      <c r="D15" s="1"/>
      <c r="E15" s="1"/>
      <c r="F15" s="1"/>
      <c r="G15" s="1"/>
      <c r="H15" s="1" t="n">
        <f aca="false">ROUND(H13*(100-H12)/100,2)+H14</f>
        <v>2</v>
      </c>
    </row>
    <row r="16" customFormat="false" ht="15" hidden="false" customHeight="false" outlineLevel="0" collapsed="false">
      <c r="A16" s="1"/>
      <c r="B16" s="11" t="str">
        <f aca="false">IF(AND(H10,LEN(TRIM(C8))&gt;0,NOT(H8)),"Nieprawidłowy kod – pominięto","")</f>
        <v/>
      </c>
      <c r="C16" s="1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4" t="s">
        <v>19</v>
      </c>
      <c r="C18" s="5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6" t="s">
        <v>20</v>
      </c>
      <c r="C19" s="12" t="str">
        <f aca="false">IF($H$10,H11,"")</f>
        <v/>
      </c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6" t="s">
        <v>21</v>
      </c>
      <c r="C20" s="13" t="str">
        <f aca="false">IF($H$10,H12/100,"")</f>
        <v/>
      </c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6" t="s">
        <v>22</v>
      </c>
      <c r="C21" s="14" t="str">
        <f aca="false">IF($H$10,H14,"")</f>
        <v/>
      </c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6" t="s">
        <v>23</v>
      </c>
      <c r="C22" s="15" t="str">
        <f aca="false">IF($H$10,H15,"")</f>
        <v/>
      </c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6" t="str">
        <f aca="false">IF(H10,"Dziękujemy za zakup!","")</f>
        <v/>
      </c>
      <c r="C23" s="16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</sheetData>
  <sheetProtection sheet="true" password="c6f2" formatCells="false"/>
  <mergeCells count="8">
    <mergeCell ref="B1:C1"/>
    <mergeCell ref="B2:E2"/>
    <mergeCell ref="B12:C12"/>
    <mergeCell ref="B13:C13"/>
    <mergeCell ref="B14:C14"/>
    <mergeCell ref="B15:C15"/>
    <mergeCell ref="B16:C16"/>
    <mergeCell ref="B23:C23"/>
  </mergeCells>
  <dataValidations count="1">
    <dataValidation allowBlank="false" errorStyle="stop" operator="between" showDropDown="false" showErrorMessage="false" showInputMessage="false" sqref="C9" type="list">
      <formula1>"Tak,Nie"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2026-10-06T21:54:45Z</dcterms:created>
  <dc:creator>openpyxl</dc:creator>
  <dc:description/>
  <dc:language>en-US</dc:language>
  <cp:lastModifiedBy/>
  <dcterms:modified xsi:type="dcterms:W3CDTF">2026-10-06T21:54:45Z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